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202300"/>
  <mc:AlternateContent xmlns:mc="http://schemas.openxmlformats.org/markup-compatibility/2006">
    <mc:Choice Requires="x15">
      <x15ac:absPath xmlns:x15ac="http://schemas.microsoft.com/office/spreadsheetml/2010/11/ac" url="https://liveunibo-my.sharepoint.com/personal/elisa_poloni2_studio_unibo_it/Documents/TESI_Utile/"/>
    </mc:Choice>
  </mc:AlternateContent>
  <xr:revisionPtr revIDLastSave="5107" documentId="8_{872F17A8-960B-4318-BE35-42F278B66514}" xr6:coauthVersionLast="47" xr6:coauthVersionMax="47" xr10:uidLastSave="{81B85D60-D9E1-416C-8FCD-E3D76D2C05E3}"/>
  <bookViews>
    <workbookView xWindow="-110" yWindow="-110" windowWidth="19420" windowHeight="10300" xr2:uid="{42738528-3603-4298-B901-AEEB6EF68A3C}"/>
  </bookViews>
  <sheets>
    <sheet name="PERSONE" sheetId="1" r:id="rId1"/>
    <sheet name="ORGANIZZAZIONI" sheetId="2" r:id="rId2"/>
    <sheet name="LUOGHI" sheetId="3" r:id="rId3"/>
    <sheet name="EVENTI" sheetId="4" r:id="rId4"/>
    <sheet name="TEMI" sheetId="7" r:id="rId5"/>
    <sheet name="SBARCO" sheetId="8" r:id="rId6"/>
    <sheet name="BOMBARDAMENTO" sheetId="9"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8" i="2" l="1"/>
  <c r="M61" i="2"/>
  <c r="M60" i="2"/>
  <c r="M59" i="2"/>
  <c r="M58" i="2"/>
  <c r="M57" i="2"/>
  <c r="M56" i="2"/>
  <c r="M55" i="2"/>
  <c r="K61" i="2"/>
  <c r="K60" i="2"/>
  <c r="K59" i="2"/>
  <c r="K58" i="2"/>
  <c r="K57" i="2"/>
  <c r="K56" i="2"/>
  <c r="G50" i="4"/>
  <c r="V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97CB6D-74CF-4C69-A049-83BD2191C21D}" keepAlive="1" name="Query - place" description="Connessione alla query 'place' nella cartella di lavoro." type="5" refreshedVersion="0" background="1" saveData="1">
    <dbPr connection="Provider=Microsoft.Mashup.OleDb.1;Data Source=$Workbook$;Location=place;Extended Properties=&quot;&quot;" command="SELECT * FROM [place]"/>
  </connection>
</connections>
</file>

<file path=xl/sharedStrings.xml><?xml version="1.0" encoding="utf-8"?>
<sst xmlns="http://schemas.openxmlformats.org/spreadsheetml/2006/main" count="2307" uniqueCount="1368">
  <si>
    <t>nome</t>
  </si>
  <si>
    <t>cognome</t>
  </si>
  <si>
    <t>authority_control</t>
  </si>
  <si>
    <t>data_nascita</t>
  </si>
  <si>
    <t>luogo_nascita</t>
  </si>
  <si>
    <t>data_morte</t>
  </si>
  <si>
    <t>luogo_morte</t>
  </si>
  <si>
    <t>ruolo</t>
  </si>
  <si>
    <t>FW</t>
  </si>
  <si>
    <t>Fernanda</t>
  </si>
  <si>
    <t>Wittgens</t>
  </si>
  <si>
    <t>http://viaf.org/viaf/8397197</t>
  </si>
  <si>
    <t>Milano</t>
  </si>
  <si>
    <t>Direttrice della Pinacoteca di Brera</t>
  </si>
  <si>
    <t>Prima donna direttrice della Pinacoteca di Brera (1940), fu protagonista della protezione del patrimonio cuturale milanese durante la seconda guerra mondiale. Organizzò il trasferimento in rifugi sicuri di capolavori provenienti da diversi musei del territorio lombardo. Fu arrestata nel 1944 per aver aiutato ebrei e perseguitati a fuggire. Nel dopoguerra si occupò della ricostruzione di Brera.</t>
  </si>
  <si>
    <t>PR; ABC</t>
  </si>
  <si>
    <t>FW-direttrice-PB_ev; Italia-guerra_ev; VMC-rifugio_ev; VIC-PPC-rifugio_ev; PB-bombardamento_ev; SMG-bombardamento_ev; armistizio_ev; Min-Ed-RM-PD_ev; RSI_ev
Soprintendenza-MI_ev; FW-arresto_ev; liberazione-MI_ev; liberazione-FW_ev; nomina-commissario-FW_ev; FW-direttrice-PB-dopoguerra_ev</t>
  </si>
  <si>
    <t>direzione-museale; tutela; guerra; logistica; archivio; rifugio; resistenza; liberazione; comando-alleato; valorizzazione</t>
  </si>
  <si>
    <t>PB</t>
  </si>
  <si>
    <t>Palma</t>
  </si>
  <si>
    <t>Bucarelli</t>
  </si>
  <si>
    <t>http://viaf.org/viaf/79129998</t>
  </si>
  <si>
    <t>Roma</t>
  </si>
  <si>
    <t>Direttrice della Galleria Nazionale d'Arte Moderna di Roma</t>
  </si>
  <si>
    <t>Storica dell'arte e direttrice della Galleria Nazionale d'Arte Moderna di Roma (1942-1975). Durante la guerra si occupò del salvataggio delle collezioni di sua competenza, trasferendole prima a Palazzo Farnese (Caprarola) e poi a Castel Sant'Angelo. Nel dopoguerra portò in Italia le avanguardie internazionali (Pollock, Burri, Manzoni) e difese l'arte contemporanea dalle polemiche politiche del tempo.</t>
  </si>
  <si>
    <t>PM; GCA; RP</t>
  </si>
  <si>
    <t>RM_loc; PD_loc; CP_loc; FI_loc; GNAM_loc; ACS_loc; Min-Ed-RM_loc; Min-Ed-PD_loc; PFC_loc; CSA_loc</t>
  </si>
  <si>
    <t>PB-direttrice-GNAM_ev; autorizzazione-CP_ev; trasferimento-RM-CP_ev; riapertura-GNAM_ev; autorizzazione-CSA_ev; trasferimento-PFC-CSA_ev; liberazione-RM_ev; rientro-GNAM_ev</t>
  </si>
  <si>
    <t>direzione-museale; archivio; logistica; tutela; rifugio; occupazione-tedesca; guerra; liberazione; valorizzazione</t>
  </si>
  <si>
    <t>PR</t>
  </si>
  <si>
    <t>Pasquale</t>
  </si>
  <si>
    <t>Rotondi</t>
  </si>
  <si>
    <t>http://viaf.org/viaf/24461179</t>
  </si>
  <si>
    <t xml:space="preserve">Arpino </t>
  </si>
  <si>
    <t>Soprintendente alle Gallerie e Opere d'Arte delle Marche</t>
  </si>
  <si>
    <t>Soprintendente alle Gallerie e Opere d’Arte delle Marche, durante la Seconda Guerra Mondiale coordinò l'Operazione Salvataggio riuscendo a nascondere e salvare circa 10.000 capolavori all'interno della Rocca di Sassocorvaro. Nel dopoguerra promosse interventi di restauro portando alla formazione della Commissione per lo 
sviluppo tecnologico della conservazione dei Beni Culturali, di cui fu presidente dal 1971.</t>
  </si>
  <si>
    <t>FW; VM; GP; ZBR</t>
  </si>
  <si>
    <t>AN_loc; VE_loc; PES_loc; SC_loc; Vaticano_loc; MAR_loc; VEN_loc; Lagosta_loc; LOM_loc; LAZ_loc; Soprintendenza-MAR_loc; DG-Arti-RM_loc; DG-Arti-PD_loc; PD-URB_loc; Rocca_loc; GA-VE_loc; GF_loc; MO_loc; GB_loc; Corsini_loc; Gaulino_loc; VT_loc; Cattedrale-URB_loc; Biblio-Oliveriana_loc; Museo-Oliveriano_loc</t>
  </si>
  <si>
    <t>soprintendenza; guerra; tutela; logistica; archivio; rifugio; occupazione-tedesca; occultamento; liberazione; comando-alleato; valorizzazione</t>
  </si>
  <si>
    <t>RP</t>
  </si>
  <si>
    <t>Roberto</t>
  </si>
  <si>
    <t>Papini</t>
  </si>
  <si>
    <t>http://viaf.org/viaf/42130209</t>
  </si>
  <si>
    <t>Pistoia</t>
  </si>
  <si>
    <t>Modena</t>
  </si>
  <si>
    <t>Storico e critico d'arte e di architettura</t>
  </si>
  <si>
    <t>Storico e critico d'arte e di architettura, diresse prima la Pinacoteca di Brera (dal 1920) e poi la Galleria Nazionale d'Arte Moderna di Roma (dal 1933 al 1941). Autore di molte pubblicazioni di storia dell’arte e di architettura, collaborò con diverse riviste.</t>
  </si>
  <si>
    <t>PM</t>
  </si>
  <si>
    <t>Paolo</t>
  </si>
  <si>
    <t>Monelli</t>
  </si>
  <si>
    <t>http://viaf.org/viaf/98064553</t>
  </si>
  <si>
    <t>Fiorano Modenese</t>
  </si>
  <si>
    <t>Giornalista, scrittore e marito di Palma Bucarelli</t>
  </si>
  <si>
    <t>Giornalista, scrittore e marito di Palma Bucarelli. Descrisse i fatti accaduti nel 1943 a Roma nel suo celebre libro "Roma 1943". Documentò il clima di quegli anni e le operazioni dei funzionari delle Belle Arti durante l'occupazione tedesca, fornendo un fondamentale spaccato storico dell'epoca.</t>
  </si>
  <si>
    <t>GCA</t>
  </si>
  <si>
    <t>Giulio Carlo</t>
  </si>
  <si>
    <t>Argan</t>
  </si>
  <si>
    <t>http://viaf.org/viaf/56605075</t>
  </si>
  <si>
    <t>Torino</t>
  </si>
  <si>
    <t>Storico dell'arte e successivamente sindaco di Roma, durante la guerra operò come ispettore centrale presso il Ministero dell'Educazione Nazionale. Fu una figura chiave nel coordinamento burocratico della tutela a livello nazionale e collaborò attivamente con Bucarelli e Rotondi per garantire la sicurezza dei depositi centrali.</t>
  </si>
  <si>
    <t>ABC</t>
  </si>
  <si>
    <t xml:space="preserve">Achille </t>
  </si>
  <si>
    <t>Bertini Calosso</t>
  </si>
  <si>
    <t>http://viaf.org/viaf/23170497</t>
  </si>
  <si>
    <t>Foggia</t>
  </si>
  <si>
    <t>Soprintendente ai Monumenti e alle Galleria dell'Umbria</t>
  </si>
  <si>
    <t>Soprintendente ai Monumenti e alle Galleria dell'Umbria (1926 - 1948), promosse norme e misure preventive da adottare in caso di guerra, fornendo indicazioni dettagliate riguardo alla conservazione e al trasferimento dei manufatti in luoghi più protetti e indicando le località dell'Umbria più soggette ad attacchi aerei.</t>
  </si>
  <si>
    <t>VM</t>
  </si>
  <si>
    <t>Vittorio</t>
  </si>
  <si>
    <t>Moschini</t>
  </si>
  <si>
    <t>http://viaf.org/viaf/44450598</t>
  </si>
  <si>
    <t>Piacenza</t>
  </si>
  <si>
    <t>Venezia</t>
  </si>
  <si>
    <t>Direttore delle Gallerie dell'Accademia di Venezia, durante la guerra coordinò la protezione del patrimonio pittorico veneziano trasferendo i capolavori in depositi sicuri.</t>
  </si>
  <si>
    <t>GP</t>
  </si>
  <si>
    <t>Guglielmo</t>
  </si>
  <si>
    <t>Pacchioni</t>
  </si>
  <si>
    <t>http://viaf.org/viaf/57680919</t>
  </si>
  <si>
    <t>Pavullo di Frignano</t>
  </si>
  <si>
    <t>Storico dell'arte e Soprintendente ai Monumenti e alle Gallerie di Milano</t>
  </si>
  <si>
    <t xml:space="preserve">Storico dell'arte e Soprintendente ai Monumenti e alle Gallerie di Milano nel periodo della guerra (1939-1945). </t>
  </si>
  <si>
    <t>ZBR</t>
  </si>
  <si>
    <t>Zea</t>
  </si>
  <si>
    <t>Bernardini Rotondi</t>
  </si>
  <si>
    <t>Urbino</t>
  </si>
  <si>
    <t>Storica dell'arte e insegnante, moglie di Pasquale Rotondi</t>
  </si>
  <si>
    <t>Storica dell'arte, insegnante e collaboratrice del marito Pasquale Rotondi durante l'Operazione Salvataggio nelle Marche. Partecipò attivamente alla gestione dei depositi di Sassocorvaro e Carpegna.</t>
  </si>
  <si>
    <t>NG</t>
  </si>
  <si>
    <t>Noemi</t>
  </si>
  <si>
    <t>Gabrielli</t>
  </si>
  <si>
    <t>http://viaf.org/viaf/7486886</t>
  </si>
  <si>
    <t>Pinerolo</t>
  </si>
  <si>
    <t>Ispettrice presso la Soprintendenza dell’Arte Medievale e Moderna del Piemonte e della Liguria</t>
  </si>
  <si>
    <t>JBM</t>
  </si>
  <si>
    <t>Jole</t>
  </si>
  <si>
    <t>Bovio Marconi</t>
  </si>
  <si>
    <t>http://viaf.org/viaf/207546241</t>
  </si>
  <si>
    <t>Palermo</t>
  </si>
  <si>
    <t>AOQ</t>
  </si>
  <si>
    <t>Armando Ottaviano</t>
  </si>
  <si>
    <t>Quintavalle</t>
  </si>
  <si>
    <t>http://viaf.org/viaf/37955491</t>
  </si>
  <si>
    <t>Napoli</t>
  </si>
  <si>
    <t>Parma</t>
  </si>
  <si>
    <t>Soprintendente alla Regia Galleria di Parma</t>
  </si>
  <si>
    <t>data_inizio</t>
  </si>
  <si>
    <t>data_fine</t>
  </si>
  <si>
    <t>PB_org</t>
  </si>
  <si>
    <t>Pinacoteca di Brera</t>
  </si>
  <si>
    <t>Museo</t>
  </si>
  <si>
    <t xml:space="preserve">http://viaf.org/viaf/157020123 </t>
  </si>
  <si>
    <t>MPP_org</t>
  </si>
  <si>
    <t>Museo Poldi Pezzoli</t>
  </si>
  <si>
    <t xml:space="preserve">http://viaf.org/viaf/127262991 </t>
  </si>
  <si>
    <t>Pinacoteca Ambrosiana</t>
  </si>
  <si>
    <t xml:space="preserve">http://viaf.org/viaf/130698811 </t>
  </si>
  <si>
    <t>CS_org</t>
  </si>
  <si>
    <t>Castello Sforzesco</t>
  </si>
  <si>
    <t>Complesso museale</t>
  </si>
  <si>
    <t xml:space="preserve">http://viaf.org/viaf/145790064 </t>
  </si>
  <si>
    <t>OM_org</t>
  </si>
  <si>
    <t>Ca' Granda</t>
  </si>
  <si>
    <t xml:space="preserve">https://www.wikidata.org/wiki/Q17154436 </t>
  </si>
  <si>
    <t>MTS_org</t>
  </si>
  <si>
    <t>Museo Teatrale alla Scala</t>
  </si>
  <si>
    <t>http://viaf.org/viaf/158311786</t>
  </si>
  <si>
    <t>AC_org</t>
  </si>
  <si>
    <t>Accademia Carrara</t>
  </si>
  <si>
    <t>http://viaf.org/viaf/173736003</t>
  </si>
  <si>
    <t>PTM_org</t>
  </si>
  <si>
    <t>Pinacoteca Tosio Martinengo</t>
  </si>
  <si>
    <t xml:space="preserve">http://viaf.org/viaf/244604707 </t>
  </si>
  <si>
    <t>VMC_org</t>
  </si>
  <si>
    <t>Villa Marini – Clarelli</t>
  </si>
  <si>
    <t>Cariplo_org</t>
  </si>
  <si>
    <t>Cassa di Risparmio delle Provincie Lombarde</t>
  </si>
  <si>
    <t xml:space="preserve">http://viaf.org/viaf/151303818 </t>
  </si>
  <si>
    <t>VIC_org</t>
  </si>
  <si>
    <t>Villa Il Corniolo</t>
  </si>
  <si>
    <t>https://cultura.gov.it/luogo/villa-paolina</t>
  </si>
  <si>
    <t>PPC_org</t>
  </si>
  <si>
    <t>Palazzo dei Principi di Carpegna</t>
  </si>
  <si>
    <t>https://www.comune.carpegna.pu.it/vivere-il-comune/luoghi/l/palazzo-1/palazzo-carpegna-35?cHash=319f72f3c9568fad3a181618747d4c6f</t>
  </si>
  <si>
    <t>Prefettura_org</t>
  </si>
  <si>
    <t>Prefettura di Milano</t>
  </si>
  <si>
    <t>Organo periferico dello Stato</t>
  </si>
  <si>
    <t>http://viaf.org/viaf/131723039</t>
  </si>
  <si>
    <t>SMG_org</t>
  </si>
  <si>
    <t>Santa Maria delle Grazie</t>
  </si>
  <si>
    <t>Complesso ecclesiastico</t>
  </si>
  <si>
    <t xml:space="preserve">http://viaf.org/viaf/307288822 </t>
  </si>
  <si>
    <t>Complesso religioso che ospita il Cenacolo vinciano e che subì gravi danni a causa dei bombardamenti del 1943.</t>
  </si>
  <si>
    <t>RSI_org</t>
  </si>
  <si>
    <t>Repubblica di Salò (RSI)</t>
  </si>
  <si>
    <t>Ente politico e governativo</t>
  </si>
  <si>
    <t xml:space="preserve">https://www.wikidata.org/wiki/Q153660 </t>
  </si>
  <si>
    <t>RSI_loc</t>
  </si>
  <si>
    <t xml:space="preserve">Stato fantoccio fascista istituito da Benito Mussolini nel Nord Italia (settembre 1943 - aprile 1945) sotto l'occupazione nazista. </t>
  </si>
  <si>
    <t>Soprintendenza-MI_org</t>
  </si>
  <si>
    <t>Soprintendenza ai monumenti di Milano</t>
  </si>
  <si>
    <t>https://sias-archivi.cultura.gov.it/cgi-bin/pagina.pl?TipoPag=prodente&amp;Chiave=74219&amp;RicProgetto=as%2Dmilano</t>
  </si>
  <si>
    <t>Soprintendenza-MI_loc</t>
  </si>
  <si>
    <t>Organo periferico del Ministero dell'Educazione Nazionale responsabile della tutela e conservazione del patrimonio culturale nell'area milanese (Soprintendenza ai monumenti di Milano, 1939 - 1975).</t>
  </si>
  <si>
    <t>SV_org</t>
  </si>
  <si>
    <t>Carcere di San Vittore</t>
  </si>
  <si>
    <t>Carcere</t>
  </si>
  <si>
    <t>http://viaf.org/viaf/73144647641989307788</t>
  </si>
  <si>
    <t>SV_loc</t>
  </si>
  <si>
    <t>ABAB_org</t>
  </si>
  <si>
    <t>Accademia di Belle Arti di Brera</t>
  </si>
  <si>
    <t>Ateneo pubblico</t>
  </si>
  <si>
    <t>http://viaf.org/viaf/148353750</t>
  </si>
  <si>
    <t>Istituzione pubblica di alta cultura, fondata nel 1776 e situata a Milano.</t>
  </si>
  <si>
    <t>ComandoAlleato_org</t>
  </si>
  <si>
    <t>Allied Commission (Comando Alleato)</t>
  </si>
  <si>
    <t>Ente militare</t>
  </si>
  <si>
    <t>https://www.wikidata.org/wiki/Q716342</t>
  </si>
  <si>
    <t>1943-11-10 </t>
  </si>
  <si>
    <t>GNAM_org</t>
  </si>
  <si>
    <t>Galleria Nazionale d'Arte Moderna</t>
  </si>
  <si>
    <t xml:space="preserve">http://viaf.org/viaf/155685834 </t>
  </si>
  <si>
    <t>GNAM-arch_org</t>
  </si>
  <si>
    <t>Archivio bioiconografico della GNAM</t>
  </si>
  <si>
    <t xml:space="preserve">http://viaf.org/viaf/272845058 </t>
  </si>
  <si>
    <t>ACS_org</t>
  </si>
  <si>
    <t>Archivio Centrale dello Stato</t>
  </si>
  <si>
    <t xml:space="preserve">http://viaf.org/viaf/130899505 </t>
  </si>
  <si>
    <t>Min-Ed_org</t>
  </si>
  <si>
    <t>Ministero dell'Educazione Nazionale</t>
  </si>
  <si>
    <t>Organo centrale dello Stato</t>
  </si>
  <si>
    <t xml:space="preserve">https://www.wikidata.org/wiki/Q65132362 </t>
  </si>
  <si>
    <t>PFC_org</t>
  </si>
  <si>
    <t>Palazzo Farnese di Caprarola</t>
  </si>
  <si>
    <t>http://viaf.org/viaf/155227712</t>
  </si>
  <si>
    <t>CSA_org</t>
  </si>
  <si>
    <t>Castel Sant'Angelo</t>
  </si>
  <si>
    <t xml:space="preserve">http://viaf.org/viaf/80145424520886830105 </t>
  </si>
  <si>
    <t>Soprintendenza-MAR_org</t>
  </si>
  <si>
    <t>Soprintendenza alle Gallerie e Opere d'Arte delle Marche</t>
  </si>
  <si>
    <t>http://viaf.org/viaf/167449817</t>
  </si>
  <si>
    <t>Soprintendenza-MAR_loc</t>
  </si>
  <si>
    <t>DG-Arti_org</t>
  </si>
  <si>
    <t>Direzione Generale delle Arti</t>
  </si>
  <si>
    <t>http://viaf.org/viaf/130704381</t>
  </si>
  <si>
    <t>PD-URB_org</t>
  </si>
  <si>
    <t>Palazzo Ducale di Urbino</t>
  </si>
  <si>
    <t>http://viaf.org/viaf/147649675</t>
  </si>
  <si>
    <t>PD-URB_loc</t>
  </si>
  <si>
    <t>Rocca_org</t>
  </si>
  <si>
    <t>Rocca di Sassocorvaro</t>
  </si>
  <si>
    <t>http://viaf.org/viaf/127804456</t>
  </si>
  <si>
    <t>Rocca_loc</t>
  </si>
  <si>
    <t>GA-VE_org</t>
  </si>
  <si>
    <t>Gallerie dell'Accademia di Venezia</t>
  </si>
  <si>
    <t>http://viaf.org/viaf/145358176</t>
  </si>
  <si>
    <t>GA-VE_loc</t>
  </si>
  <si>
    <t>GF_org</t>
  </si>
  <si>
    <t>Galleria Franchetti (Ca d'Oro)</t>
  </si>
  <si>
    <t>http://viaf.org/viaf/147271225</t>
  </si>
  <si>
    <t>GF_loc</t>
  </si>
  <si>
    <t>MO_org</t>
  </si>
  <si>
    <t>Museo Orientale di Venezia</t>
  </si>
  <si>
    <t>http://viaf.org/viaf/138048975</t>
  </si>
  <si>
    <t>MO_loc</t>
  </si>
  <si>
    <t>GB_org</t>
  </si>
  <si>
    <t>Galleria Borghese</t>
  </si>
  <si>
    <t>http://viaf.org/viaf/135862740</t>
  </si>
  <si>
    <t>GB_loc</t>
  </si>
  <si>
    <t>Corsini_org</t>
  </si>
  <si>
    <t>Galleria Corsini</t>
  </si>
  <si>
    <t>http://viaf.org/viaf/172108264</t>
  </si>
  <si>
    <t>Corsini_loc</t>
  </si>
  <si>
    <t>Gaulino_org</t>
  </si>
  <si>
    <t>Collezione Gaulino</t>
  </si>
  <si>
    <t>Gaulino_loc</t>
  </si>
  <si>
    <t>ComandoMilitareGermanico_org</t>
  </si>
  <si>
    <t>Comando Militare Germanico</t>
  </si>
  <si>
    <t>https://www.wikidata.org/wiki/Q128781</t>
  </si>
  <si>
    <t>VT_org</t>
  </si>
  <si>
    <t>Villa Tortorina</t>
  </si>
  <si>
    <t>VT_loc</t>
  </si>
  <si>
    <t>Cattedrale-URB_org</t>
  </si>
  <si>
    <t>Cattedrale di Urbino</t>
  </si>
  <si>
    <t>http://viaf.org/viaf/142341240</t>
  </si>
  <si>
    <t>Cattedrale-URB_loc</t>
  </si>
  <si>
    <t>Biblio-Oliveriana_org</t>
  </si>
  <si>
    <t>Biblioteca Oliveriana</t>
  </si>
  <si>
    <t>Biblioteca</t>
  </si>
  <si>
    <t>http://viaf.org/viaf/140513155</t>
  </si>
  <si>
    <t>Biblio-Oliveriana_loc</t>
  </si>
  <si>
    <t>Museo-Oliveriano_org</t>
  </si>
  <si>
    <t>Museo Archeologico Oliveriano</t>
  </si>
  <si>
    <t>http://viaf.org/viaf/122815807</t>
  </si>
  <si>
    <t>Museo-Oliveriano_loc</t>
  </si>
  <si>
    <t>comune</t>
  </si>
  <si>
    <t>BG_loc</t>
  </si>
  <si>
    <t>Bergamo</t>
  </si>
  <si>
    <t>45.696010</t>
  </si>
  <si>
    <t>9.667210</t>
  </si>
  <si>
    <t xml:space="preserve">https://www.geonames.org/3182164/bergamo.html </t>
  </si>
  <si>
    <t>BS_loc</t>
  </si>
  <si>
    <t>Brescia</t>
  </si>
  <si>
    <t>45.535580</t>
  </si>
  <si>
    <t>10.214720</t>
  </si>
  <si>
    <t xml:space="preserve">https://www.geonames.org/3181554/brescia.html </t>
  </si>
  <si>
    <t>MF_loc</t>
  </si>
  <si>
    <t>Montefreddo</t>
  </si>
  <si>
    <t>43.044100</t>
  </si>
  <si>
    <t>12.280200</t>
  </si>
  <si>
    <t>PG_loc</t>
  </si>
  <si>
    <t>Perugia</t>
  </si>
  <si>
    <t>43.112200</t>
  </si>
  <si>
    <t>12.388780</t>
  </si>
  <si>
    <t>https://www.geonames.org/3171180/perugia.html</t>
  </si>
  <si>
    <t>ORV_loc</t>
  </si>
  <si>
    <t>Orvieto</t>
  </si>
  <si>
    <t>42.719240</t>
  </si>
  <si>
    <t>12.112490</t>
  </si>
  <si>
    <t>https://www.geonames.org/3171874/orvieto.html</t>
  </si>
  <si>
    <t>CAR_loc</t>
  </si>
  <si>
    <t>Carpegna</t>
  </si>
  <si>
    <t>43.781100</t>
  </si>
  <si>
    <t>12.335430</t>
  </si>
  <si>
    <t>https://www.geonames.org/3180455/carpegna.html</t>
  </si>
  <si>
    <t>URB_loc</t>
  </si>
  <si>
    <t>43.726210</t>
  </si>
  <si>
    <t>12.636330</t>
  </si>
  <si>
    <t>https://www.geonames.org/3165035/urbino.html</t>
  </si>
  <si>
    <t>MI_loc</t>
  </si>
  <si>
    <t>45.464270</t>
  </si>
  <si>
    <t>9.189510</t>
  </si>
  <si>
    <t>https://www.geonames.org/3173435/milan.html</t>
  </si>
  <si>
    <t>RM_loc</t>
  </si>
  <si>
    <t>41.891930</t>
  </si>
  <si>
    <t>12.511330</t>
  </si>
  <si>
    <t>https://www.geonames.org/3169070/rome.html</t>
  </si>
  <si>
    <t>PD_loc</t>
  </si>
  <si>
    <t>Padova</t>
  </si>
  <si>
    <t>45.407970</t>
  </si>
  <si>
    <t>11.885860</t>
  </si>
  <si>
    <t>https://www.geonames.org/3171728/padua.html</t>
  </si>
  <si>
    <t>CP_loc</t>
  </si>
  <si>
    <t>Caprarola</t>
  </si>
  <si>
    <t>42.323080</t>
  </si>
  <si>
    <t>12.238480</t>
  </si>
  <si>
    <t>https://www.geonames.org/3180635/caprarola.html</t>
  </si>
  <si>
    <t>AN_loc</t>
  </si>
  <si>
    <t>Ancona</t>
  </si>
  <si>
    <t>43.60717</t>
  </si>
  <si>
    <t>13.5103</t>
  </si>
  <si>
    <t>https://www.geonames.org/3183089/ancona.html</t>
  </si>
  <si>
    <t>VE_loc</t>
  </si>
  <si>
    <t>45.437130</t>
  </si>
  <si>
    <t>12.332650</t>
  </si>
  <si>
    <t>https://www.geonames.org/3164603/venice.html</t>
  </si>
  <si>
    <t>PES_loc</t>
  </si>
  <si>
    <t>Pesaro</t>
  </si>
  <si>
    <t>43.909210 </t>
  </si>
  <si>
    <t>12.91640</t>
  </si>
  <si>
    <t>https://www.geonames.org/3171173/pesaro.html</t>
  </si>
  <si>
    <t>SC_loc</t>
  </si>
  <si>
    <t>Sassocorvaro</t>
  </si>
  <si>
    <t>43.781560</t>
  </si>
  <si>
    <t>12.498750</t>
  </si>
  <si>
    <t>https://www.geonames.org/6536772/sassocorvaro.html</t>
  </si>
  <si>
    <t>Vaticano_loc</t>
  </si>
  <si>
    <t>Città del Vaticano</t>
  </si>
  <si>
    <t>41.902680</t>
  </si>
  <si>
    <t>12.454140</t>
  </si>
  <si>
    <t>https://www.geonames.org/6691831/vatican-city.html</t>
  </si>
  <si>
    <t>PB_loc</t>
  </si>
  <si>
    <t>45.471900</t>
  </si>
  <si>
    <t>9.188060</t>
  </si>
  <si>
    <t xml:space="preserve">https://www.geonames.org/6949436/pinacoteca-di-brera.html </t>
  </si>
  <si>
    <t>MPP_loc</t>
  </si>
  <si>
    <t>45.468470</t>
  </si>
  <si>
    <t>9.191510</t>
  </si>
  <si>
    <t xml:space="preserve">https://www.geonames.org/10278745/museo-poldi-pezzoli.html </t>
  </si>
  <si>
    <t>PA_loc</t>
  </si>
  <si>
    <t>45.463520</t>
  </si>
  <si>
    <t>9.185870</t>
  </si>
  <si>
    <t xml:space="preserve">https://www.geonames.org/8133663/pinacoteca-ambrosiana.html </t>
  </si>
  <si>
    <t>CS_loc</t>
  </si>
  <si>
    <t>45.469870</t>
  </si>
  <si>
    <t>9.180030</t>
  </si>
  <si>
    <t xml:space="preserve">https://www.geonames.org/3166568/castello-sforzesco.html </t>
  </si>
  <si>
    <t>OM_loc</t>
  </si>
  <si>
    <t>Cà Granda</t>
  </si>
  <si>
    <t>45.460008</t>
  </si>
  <si>
    <t>9.195317</t>
  </si>
  <si>
    <t>MTS_loc</t>
  </si>
  <si>
    <t>45.467240</t>
  </si>
  <si>
    <t>9.189220</t>
  </si>
  <si>
    <t xml:space="preserve">https://www.geonames.org/11839661/museo-teatrale-alla-scala.html </t>
  </si>
  <si>
    <t>AC_loc</t>
  </si>
  <si>
    <t>45.703861</t>
  </si>
  <si>
    <t>9.675611</t>
  </si>
  <si>
    <t>https://www.wikidata.org/wiki/Q338367</t>
  </si>
  <si>
    <t>PTM_loc</t>
  </si>
  <si>
    <t>45.534900</t>
  </si>
  <si>
    <t>10.224800</t>
  </si>
  <si>
    <t xml:space="preserve">https://www.wikidata.org/wiki/Q3388589 </t>
  </si>
  <si>
    <t>VMC_loc</t>
  </si>
  <si>
    <t>43.043580</t>
  </si>
  <si>
    <t>12.285387</t>
  </si>
  <si>
    <t>Cariplo_loc</t>
  </si>
  <si>
    <t>45.469300</t>
  </si>
  <si>
    <t>9.189500</t>
  </si>
  <si>
    <t xml:space="preserve">https://www.wikidata.org/wiki/Q3661915 </t>
  </si>
  <si>
    <t>VIC_loc</t>
  </si>
  <si>
    <t>42.681610</t>
  </si>
  <si>
    <t>12.100970</t>
  </si>
  <si>
    <t>PPC_loc</t>
  </si>
  <si>
    <t>Palazzo Principi di Carpegna</t>
  </si>
  <si>
    <t>43.781690</t>
  </si>
  <si>
    <t>12.336250</t>
  </si>
  <si>
    <t>Prefettura_loc</t>
  </si>
  <si>
    <t>Palazzo Diotti (Prefettura)</t>
  </si>
  <si>
    <t>45.467450</t>
  </si>
  <si>
    <t>9.202180</t>
  </si>
  <si>
    <t>https://www.wikidata.org/wiki/Q25841599</t>
  </si>
  <si>
    <t>SMG_loc</t>
  </si>
  <si>
    <t>45.465900</t>
  </si>
  <si>
    <t>9.171140</t>
  </si>
  <si>
    <t>https://www.geonames.org/6949438/santa-maria-delle-grazie.html</t>
  </si>
  <si>
    <t>LG_loc</t>
  </si>
  <si>
    <t>Linea Gotica</t>
  </si>
  <si>
    <t>Salò (Sede RSI)</t>
  </si>
  <si>
    <t>45.607114</t>
  </si>
  <si>
    <t>10.528279</t>
  </si>
  <si>
    <t>Salò</t>
  </si>
  <si>
    <t>https://www.wikidata.org/wiki/Q153660</t>
  </si>
  <si>
    <t>Palazzo Litta (Soprintendenza 1939 - 1975)</t>
  </si>
  <si>
    <t>45.465769</t>
  </si>
  <si>
    <t>9.178311</t>
  </si>
  <si>
    <t>https://www.wikidata.org/wiki/Q732658</t>
  </si>
  <si>
    <t>45.461937</t>
  </si>
  <si>
    <t>9.165688</t>
  </si>
  <si>
    <t>https://www.wikidata.org/wiki/Q3658360</t>
  </si>
  <si>
    <t>ABAB_loc</t>
  </si>
  <si>
    <t>45.472222</t>
  </si>
  <si>
    <t>9.188889</t>
  </si>
  <si>
    <t>https://www.wikidata.org/wiki/Q338472</t>
  </si>
  <si>
    <t>GNAM_loc</t>
  </si>
  <si>
    <t>41.917060</t>
  </si>
  <si>
    <t>12.482160</t>
  </si>
  <si>
    <t>https://www.geonames.org/8015103/galleria-dell-arte-moderna.html</t>
  </si>
  <si>
    <t>ACS_loc</t>
  </si>
  <si>
    <t>41.829040</t>
  </si>
  <si>
    <t>12.475380</t>
  </si>
  <si>
    <t>https://www.wikidata.org/wiki/Q2860420</t>
  </si>
  <si>
    <t>Min-Ed-RM_loc</t>
  </si>
  <si>
    <t>Palazzo della Pubblica Istruzione (Ministero dell'Educazione Nazionale)</t>
  </si>
  <si>
    <t>41.884970</t>
  </si>
  <si>
    <t>12.470051</t>
  </si>
  <si>
    <t>https://www.wikidata.org/wiki/Q3891313</t>
  </si>
  <si>
    <t>Min-Ed-PD_loc</t>
  </si>
  <si>
    <t>Palazzo del Bo (Ministero dell'Educazione Nazionale)</t>
  </si>
  <si>
    <t>45.406840</t>
  </si>
  <si>
    <t>11.877540</t>
  </si>
  <si>
    <t>https://www.wikidata.org/wiki/Q3360829</t>
  </si>
  <si>
    <t>PFC_loc</t>
  </si>
  <si>
    <t>Palazzo Farnese</t>
  </si>
  <si>
    <t>42.328690</t>
  </si>
  <si>
    <t>12.237010</t>
  </si>
  <si>
    <t>https://www.geonames.org/8334595/villa-farnese.html</t>
  </si>
  <si>
    <t>CSA_loc</t>
  </si>
  <si>
    <t>41.903000</t>
  </si>
  <si>
    <t>12.466350</t>
  </si>
  <si>
    <t>https://www.geonames.org/6269267/castel-sant-angelo.html</t>
  </si>
  <si>
    <t>43.623020</t>
  </si>
  <si>
    <t>13.510940</t>
  </si>
  <si>
    <t>https://www.geonames.org/10288100/soprintendenza-archeologica-delle-marche.html</t>
  </si>
  <si>
    <t>DG-Arti-RM_loc</t>
  </si>
  <si>
    <t>DG-Arti-PD_loc</t>
  </si>
  <si>
    <t>43.723330</t>
  </si>
  <si>
    <t>12.637780</t>
  </si>
  <si>
    <t>https://www.geonames.org/7602822/palazzo-ducale.html</t>
  </si>
  <si>
    <t>43.781223</t>
  </si>
  <si>
    <t>12.495312</t>
  </si>
  <si>
    <t>https://www.wikidata.org/wiki/Q3939494</t>
  </si>
  <si>
    <t>45.431154</t>
  </si>
  <si>
    <t>12.328118</t>
  </si>
  <si>
    <t>https://www.geonames.org/10628950/gallerie-dell-accademia.html</t>
  </si>
  <si>
    <t>45.441199</t>
  </si>
  <si>
    <t>12.334144</t>
  </si>
  <si>
    <t>https://www.geonames.org/11836151/ca-d-oro.html</t>
  </si>
  <si>
    <t>45.441234</t>
  </si>
  <si>
    <t>12.331544</t>
  </si>
  <si>
    <t>https://www.geonames.org/11127075/civico-museo-d-arte-orientale.html</t>
  </si>
  <si>
    <t>41.914483</t>
  </si>
  <si>
    <t>12.492023</t>
  </si>
  <si>
    <t>https://www.geonames.org/7303254/galleria-borghese.html</t>
  </si>
  <si>
    <t>41.893421</t>
  </si>
  <si>
    <t>12.466894</t>
  </si>
  <si>
    <t>https://www.geonames.org/8199619/galleria-nazionale-d-arte-antica-in-palazzo-corsini.html</t>
  </si>
  <si>
    <t>43.724971</t>
  </si>
  <si>
    <t>12.636837</t>
  </si>
  <si>
    <t>https://www.wikidata.org/wiki/Q2754576</t>
  </si>
  <si>
    <t>43.909962</t>
  </si>
  <si>
    <t>12.913519</t>
  </si>
  <si>
    <t>https://www.wikidata.org/wiki/Q23405709</t>
  </si>
  <si>
    <t>43.910008</t>
  </si>
  <si>
    <t>12.909742</t>
  </si>
  <si>
    <t>https://www.wikidata.org/wiki/Q21008951</t>
  </si>
  <si>
    <t>evento</t>
  </si>
  <si>
    <t>descrizione</t>
  </si>
  <si>
    <t>FW-direttrice-PB_ev</t>
  </si>
  <si>
    <t>Fernanda Wittgens assume ufficialmente la direzione della Pinacoteca di Brera.</t>
  </si>
  <si>
    <t>PB_loc; MI_loc</t>
  </si>
  <si>
    <t>direzione-museale</t>
  </si>
  <si>
    <t>Italia-guerra_ev</t>
  </si>
  <si>
    <t>L'Italia entra in guerra.</t>
  </si>
  <si>
    <t>guerra</t>
  </si>
  <si>
    <t>VMC-rifugio_ev</t>
  </si>
  <si>
    <t xml:space="preserve"> </t>
  </si>
  <si>
    <t>VMC_loc; MF_loc; PG_loc</t>
  </si>
  <si>
    <t>logistica; rifugio</t>
  </si>
  <si>
    <t>FW; ABC</t>
  </si>
  <si>
    <t>VIC-PPC-rifugio_ev</t>
  </si>
  <si>
    <t>VIC_loc; ORV_loc; PPC_loc; CAR_loc</t>
  </si>
  <si>
    <t>FW; PR</t>
  </si>
  <si>
    <t>PB-bombardamento_ev</t>
  </si>
  <si>
    <t>La Pinacoteca viene colpita: 26 sale su 34 vengono gravemente danneggiate.</t>
  </si>
  <si>
    <t>SMG-bombardamento_ev</t>
  </si>
  <si>
    <t>Viene colpita la chiesa ma il muro del Cenacolo si salva grazie alle protezioni di sacchi di sabbia.</t>
  </si>
  <si>
    <t>armistizio_ev</t>
  </si>
  <si>
    <t>Proclamazione dell'armistizio; l'Italia centro-settentrionale diventa zona di guerra.</t>
  </si>
  <si>
    <t>Min-Ed-RM-PD_ev</t>
  </si>
  <si>
    <t>Nuova sede Ministero dell'Educazione Nazionale</t>
  </si>
  <si>
    <t>Min-Ed-RM_loc; RM_loc</t>
  </si>
  <si>
    <t>Min-Ed-PD_loc; PD_loc</t>
  </si>
  <si>
    <t>La sede del Ministero dell'Educazione Nazionale viene spostata in seguito all'armistizio.</t>
  </si>
  <si>
    <t>RSI_ev</t>
  </si>
  <si>
    <t>Repubblica Sociale Italiana</t>
  </si>
  <si>
    <t>RSI_loc; BS_loc</t>
  </si>
  <si>
    <t>Nasce la Repubblica Sociale Italiana con sede a Salò (BS)</t>
  </si>
  <si>
    <t>Soprintendenza-MI_ev</t>
  </si>
  <si>
    <t>soprintendenza</t>
  </si>
  <si>
    <t>La Soprintendenza milanese si occupa di gestire repentini spostamenti, alla ricerca di luoghi sempre più sicuri.</t>
  </si>
  <si>
    <t>FW-arresto_ev</t>
  </si>
  <si>
    <t>Arresto di Fernanda Wittgens</t>
  </si>
  <si>
    <t>resistenza</t>
  </si>
  <si>
    <t>Wittgens viene arrestata per attività clandestina.</t>
  </si>
  <si>
    <t>liberazione-MI_ev</t>
  </si>
  <si>
    <t>Liberazione di Milano</t>
  </si>
  <si>
    <t>Le truppe alleate e partigiane liberano Milano dall'occupazione nazi-fascista.</t>
  </si>
  <si>
    <t>liberazione-FW_ev</t>
  </si>
  <si>
    <t>Fernanda Wittgens viene rilasciata.</t>
  </si>
  <si>
    <t>nomina-commissario-FW_ev</t>
  </si>
  <si>
    <t>Il Comando Alleato nomina Wittgens commissario straordinario dell'Accademia di Brera.</t>
  </si>
  <si>
    <t>FW-direttrice-PB-dopoguerra_ev</t>
  </si>
  <si>
    <t>Fernanda Wittgens riottiene ufficialmente il ruolo di Direttrice di Brera.</t>
  </si>
  <si>
    <t>PB-direttrice-GNAM_ev</t>
  </si>
  <si>
    <t>Bucarelli assume la direzione della Galleria Nazionale d'Arte Moderna di Roma.</t>
  </si>
  <si>
    <t>autorizzazione-CP_ev</t>
  </si>
  <si>
    <t>logistica; tutela</t>
  </si>
  <si>
    <t>PB; GCA</t>
  </si>
  <si>
    <t>Il Ministero autorizza il trasferimento delle opere della GNAM a Palazzo Farnese.</t>
  </si>
  <si>
    <t>trasferimento-RM-CP_ev</t>
  </si>
  <si>
    <t>Trasferimento a Caprarola</t>
  </si>
  <si>
    <t>GNAM_loc; RM_loc;  PFC_loc; CP_loc</t>
  </si>
  <si>
    <t>GNAM_loc; RM_loc</t>
  </si>
  <si>
    <t>PFC_loc; CP_loc</t>
  </si>
  <si>
    <t>Operazioni di trasferimento delle opere romane verso Palazzo Farnese (22 viaggi descritti in una cartellina conservata nell’Archivio Centrale dello Stato).</t>
  </si>
  <si>
    <t>riapertura-GNAM_ev</t>
  </si>
  <si>
    <t>valorizzazione</t>
  </si>
  <si>
    <t>La Galleria riapre parzialmente per dare un segnale di continuità culturale.</t>
  </si>
  <si>
    <t>autorizzazione-CSA_ev</t>
  </si>
  <si>
    <t>PD_loc; Min-Ed-PD_loc</t>
  </si>
  <si>
    <t>Seconda autorizzazione per spostare le opere in Castel Sant'Angelo.</t>
  </si>
  <si>
    <t>trasferimento-PFC-CSA_ev</t>
  </si>
  <si>
    <t>PFC_loc; CP_loc; CSA_loc; RM_loc</t>
  </si>
  <si>
    <t>CSA_loc; RM_loc</t>
  </si>
  <si>
    <t>logistica</t>
  </si>
  <si>
    <t>Operazioni di trasferimento delle opere da Palazzo Farnese (Caprarola) a Castel Sant'Angelo.</t>
  </si>
  <si>
    <t>liberazione-RM_ev</t>
  </si>
  <si>
    <t>Liberazione di Roma</t>
  </si>
  <si>
    <t>liberazione</t>
  </si>
  <si>
    <t>Le truppe alleate liberano la Capitale dall'occupazione tedesca.</t>
  </si>
  <si>
    <t>rientro-GNAM_ev</t>
  </si>
  <si>
    <t>Le opere tornano alla GNAM dopo la liberazione di Roma.</t>
  </si>
  <si>
    <t>PR-soprintendente_ev</t>
  </si>
  <si>
    <t>Pasquale Rotondi diventa Soprintendente</t>
  </si>
  <si>
    <t>PR-incarico-tutela_ev</t>
  </si>
  <si>
    <t>Viene affidato a Rotondi l'incarico di trovare rifugi per la protezione del patrimonio</t>
  </si>
  <si>
    <t>soprintendenza; tutela; rifugio</t>
  </si>
  <si>
    <t>MAR-Lagosta-trasferimento-Rocca_ev</t>
  </si>
  <si>
    <t>Vengono trasportate casse provenienti dalle Marche e dall'Isola di Lagosta presso il rifugio di Sassocorvaro</t>
  </si>
  <si>
    <t>MAR_loc; Lagosta_loc; Rocca_loc</t>
  </si>
  <si>
    <t>MAR_loc; Lagosta_loc</t>
  </si>
  <si>
    <t>logistica; rifugio; tutela</t>
  </si>
  <si>
    <t>VE-trasferimento-Rocca_ev</t>
  </si>
  <si>
    <t>Arrivano a Sassocorvaro beni provenienti da Venezia</t>
  </si>
  <si>
    <t>VE_loc; Rocca_loc</t>
  </si>
  <si>
    <t>VEN-LAZ-LOM-trasferimento-PPC_ev</t>
  </si>
  <si>
    <t>Viene individuato un secondo rifugio presso il Palazzo dei Principi di Carpegna dove confluiscono opere provenienti da Veneto, Lazio e Lombardia</t>
  </si>
  <si>
    <t>VEN_loc; LAZ_loc; LOM_loc; PPC_loc</t>
  </si>
  <si>
    <t>VEN_loc; LAZ_loc; LOM_loc</t>
  </si>
  <si>
    <t>CS-trasferimento-PPC_ev</t>
  </si>
  <si>
    <t>Arrivano al Palazzo dei Principi di Carpegna i primi convogli contenenti opere provenienti da Castello Sforzesco, consegnate a Rotondi da Fernanda Wittgens</t>
  </si>
  <si>
    <t>CS_loc; PPC_loc</t>
  </si>
  <si>
    <t>PR; FW</t>
  </si>
  <si>
    <t>VE-trasferimento-PPC_ev</t>
  </si>
  <si>
    <t>Vittorio Moschini spedisce da Venezia casse provenienti da chiese, gallerie e dalla Ca d'Oro di Venezia</t>
  </si>
  <si>
    <t>VE_loc; GA-VE_loc; GF_loc; MO_loc; PPC_loc</t>
  </si>
  <si>
    <t>VE_loc; GA-VE_loc; GF_loc; MO_loc</t>
  </si>
  <si>
    <t>RM-trasferimento-PPC_ev</t>
  </si>
  <si>
    <t>Arrivano da Roma diversi carichi di capolavori provenienti da diverse chiese e dalla Galleria Borghese, Regia Galleria Corsini e Collezione Gaulino</t>
  </si>
  <si>
    <t>RM_loc; GB_loc; Corsini_loc; Gaulino_loc; PPC_loc</t>
  </si>
  <si>
    <t>RM_loc; GB_loc; Corsini_loc; Gaulino_loc</t>
  </si>
  <si>
    <t>MI-trasferimento-PPC_ev</t>
  </si>
  <si>
    <t>Arrivano le casse spedite da Milano dal soprintendente Pacchioni</t>
  </si>
  <si>
    <t>MI_loc; PPC_loc</t>
  </si>
  <si>
    <t>occupazione-tedesca-PPC_ev</t>
  </si>
  <si>
    <t>PPC_loc; Rocca_loc; VT_loc; PD-URB_loc</t>
  </si>
  <si>
    <t>VT_loc; PD-URB_loc</t>
  </si>
  <si>
    <t>occupazione-tedesca; logistica; rifugio</t>
  </si>
  <si>
    <t>occultamento-opere-URB_ev</t>
  </si>
  <si>
    <t>Grazie alla mediazione della Chiesa, vengono recuperate alcune opere raccolte nel rifugio di Carpegna, temporaneamente sotto la protezione del terzo Reich: vengono occultate nella cripta della Cattedrale e murate nei sotteranei del Palazzo Ducale</t>
  </si>
  <si>
    <t>PPC_loc; Cattedrale-URB_loc; PD-URB_loc</t>
  </si>
  <si>
    <t>Cattedrale-URB_loc; PD-URB_loc</t>
  </si>
  <si>
    <t>occupazione-tedesca; tutela; logistica; occultamento</t>
  </si>
  <si>
    <t>URB-trasferimento-Vaticano_ev</t>
  </si>
  <si>
    <t>Le opere temporaneamente conservate nella Cattedrale e nei sotterranei di Palazzo Ducale vengono spostate in Vaticano.</t>
  </si>
  <si>
    <t>Cattedrale-URB_loc; PD-URB_loc; Vaticano_loc</t>
  </si>
  <si>
    <t>Il rifugio di Carpegna viene sgomberato completamente.</t>
  </si>
  <si>
    <t>PPC_loc; Vaticano_loc</t>
  </si>
  <si>
    <t>PES-trasferimento-Rocca_ev</t>
  </si>
  <si>
    <t>Biblio-Oliveriana_loc; Museo-Oliveriano_loc; Rocca_loc</t>
  </si>
  <si>
    <t>Biblio-Oliveriana_loc; Museo-Oliveriano_loc</t>
  </si>
  <si>
    <t>liberazione-URB_ev</t>
  </si>
  <si>
    <t>Liberazione di Urbino</t>
  </si>
  <si>
    <t>chiusura-Rocca_ev</t>
  </si>
  <si>
    <t>tutela</t>
  </si>
  <si>
    <t>Tutela</t>
  </si>
  <si>
    <t>https://thes.bncf.firenze.sbn.it/termine.php?id=13796</t>
  </si>
  <si>
    <t>Protezione e salvaguardia del patrimonio storico artistico durante la Seconda Guerra mondiale</t>
  </si>
  <si>
    <t>Resistenza</t>
  </si>
  <si>
    <t>https://thes.bncf.firenze.sbn.it/termine.php?id=9241</t>
  </si>
  <si>
    <t>Attività antifascista, clandestina e partigiana</t>
  </si>
  <si>
    <t>Guerra</t>
  </si>
  <si>
    <t>https://thes.bncf.firenze.sbn.it/termine.php?id=1117</t>
  </si>
  <si>
    <t>Eventi bellici, bombardamenti e danni al patrimonio</t>
  </si>
  <si>
    <t>Logistica</t>
  </si>
  <si>
    <t>Trasporto, imballaggio e gestione dei rifugi</t>
  </si>
  <si>
    <t>Valorizzazione</t>
  </si>
  <si>
    <t>Attività post-bellica di ricostruzione e riapertura dei musei</t>
  </si>
  <si>
    <t>Liberazione</t>
  </si>
  <si>
    <t>Liberazione dalla dittatura nazi-fascista del territorio italiano</t>
  </si>
  <si>
    <t>Soprintendenza</t>
  </si>
  <si>
    <t>Attività dei soprintendenti nella gestione patrimonio culturale durante la guerra</t>
  </si>
  <si>
    <t>Direzione museale</t>
  </si>
  <si>
    <t>Attività dei direttori delle istituzioni museali nella gestione patrimonio culturale durante la guerra</t>
  </si>
  <si>
    <t>archivio</t>
  </si>
  <si>
    <t>Archivio</t>
  </si>
  <si>
    <t>Documentazione archivistica, dossier, elenchi e fondi documentari</t>
  </si>
  <si>
    <t>occupazione-tedesca</t>
  </si>
  <si>
    <t>Occupazione</t>
  </si>
  <si>
    <t>Presenza di truppe nemiche e pericoli legati all'occupazione militare tedesca</t>
  </si>
  <si>
    <t>occultamento</t>
  </si>
  <si>
    <t>Occultamento</t>
  </si>
  <si>
    <t>Nascondimento fisico delle opere nella muratura e nei sotterranei dei rifugi</t>
  </si>
  <si>
    <t>spoliazioni</t>
  </si>
  <si>
    <t>Spoliazione</t>
  </si>
  <si>
    <t>Rischio di furto, esportazione illegale o requisizione da parte delle truppe tedesche</t>
  </si>
  <si>
    <t>rifugio</t>
  </si>
  <si>
    <t>Rifugio</t>
  </si>
  <si>
    <t>Luogo sicuro individuato per nascondere le opere d'arte</t>
  </si>
  <si>
    <t>comando-alleato</t>
  </si>
  <si>
    <t>Comando alleato</t>
  </si>
  <si>
    <t>Attività degli Alleati in seguito all'armistizio dell'8 settembre</t>
  </si>
  <si>
    <t>istituzioni</t>
  </si>
  <si>
    <t>Istituzioni</t>
  </si>
  <si>
    <t>note_bio</t>
  </si>
  <si>
    <t>id</t>
  </si>
  <si>
    <t>id_persone</t>
  </si>
  <si>
    <t>id_organizzazioni</t>
  </si>
  <si>
    <t>id_luoghi</t>
  </si>
  <si>
    <t>id_eventi</t>
  </si>
  <si>
    <t>id_temi</t>
  </si>
  <si>
    <t>nome_org</t>
  </si>
  <si>
    <t>tipologia_org</t>
  </si>
  <si>
    <t>nome_loc</t>
  </si>
  <si>
    <t>tipologia_loc</t>
  </si>
  <si>
    <t>note_loc</t>
  </si>
  <si>
    <t>note_org</t>
  </si>
  <si>
    <t>id_partenza</t>
  </si>
  <si>
    <t>id_arrivo</t>
  </si>
  <si>
    <t>etichetta_filtro</t>
  </si>
  <si>
    <t>img</t>
  </si>
  <si>
    <t>note_ev</t>
  </si>
  <si>
    <t>lat</t>
  </si>
  <si>
    <t>lng</t>
  </si>
  <si>
    <t>città</t>
  </si>
  <si>
    <t>ente-pubblico</t>
  </si>
  <si>
    <t>Gli alleati arrivano anche a Sassocorvaro e le opere possono considerarsi definitivamente fuori pericolo.</t>
  </si>
  <si>
    <t>Il patrimonio culturale viene restituito e il rifugio viene chiuso.</t>
  </si>
  <si>
    <t>Alla Rocca di Sassocorvaro continuano a confluire opere provenienti dal Museo e dalla Biblioteca di Pesaro.</t>
  </si>
  <si>
    <t>Chiusura del rifugio di Sassocorvaro</t>
  </si>
  <si>
    <t>Sgombero del rifugio di Carpegna</t>
  </si>
  <si>
    <t>Occultamento di alcune opere nella cripta della Cattedrale e nei sotteranei del Palazzo Ducale</t>
  </si>
  <si>
    <t>Arrivo di altre opere alla Rocca di Sassocorvaro</t>
  </si>
  <si>
    <t>Spostamento delle opere in Vaticano</t>
  </si>
  <si>
    <t>Requisizione del Palazzo dei Principi di Carpegna dal Comando Militare Germanico</t>
  </si>
  <si>
    <t>Il Palazzo dei Principi di Carpegna viene requisito e accasermato dal Comando Militare Germanico: viene sgomberato il rifugio di Sassocorvaro per timore che venga occupato anch'esso e le opere vengono spostate a Villa Tortorina e Palazzo Ducale.</t>
  </si>
  <si>
    <t>Arrivo delle casse provenienti da Milano</t>
  </si>
  <si>
    <t>Arrivo di diversi carichi di capolavori provenienti da Roma</t>
  </si>
  <si>
    <t xml:space="preserve">Arrivo di opere provenienti da Venezia </t>
  </si>
  <si>
    <t>PR; VM</t>
  </si>
  <si>
    <t>PR; GP</t>
  </si>
  <si>
    <t>Nomina a Soprintendente di Pasquale Rotondi</t>
  </si>
  <si>
    <t>Incarico affidato a Rotondi</t>
  </si>
  <si>
    <t>Trasporto di alcune casse dalle Marche e dall'Isola di Lagosta</t>
  </si>
  <si>
    <t>Arrivo dei beni provenienti da Venezia</t>
  </si>
  <si>
    <t>Arrivo dei primi convogli al Palazzo dei Principi di Carpegna</t>
  </si>
  <si>
    <t>Palazzo dei Principi di Carpegna individuato come rifugio</t>
  </si>
  <si>
    <t>Nomina di Fernanda Wittgens a direttrice</t>
  </si>
  <si>
    <t>Inizio del conflitto in Italia</t>
  </si>
  <si>
    <t>Arrivano a Villa Marini – Clarelli 32 casse provenienti da Brera, consegnate a Bertini Calosso.</t>
  </si>
  <si>
    <t>PB_loc; MI_loc; VMC_loc; MF_loc; PG_loc</t>
  </si>
  <si>
    <t>Le opere vengono spostate da Villa Marini – Clarelli  verso nuovi rifugi ritenuti più sicuri (Villa Il Corniolo nei pressi di Orvieto e Palazzo dei Principi di Carpegna nei pressi di Urbino).</t>
  </si>
  <si>
    <t xml:space="preserve">Spostamento delle opere da Villa Marini – Clarelli </t>
  </si>
  <si>
    <t>Bombardamento della Pinacoteca di Brera</t>
  </si>
  <si>
    <t>Bombardamento di Santa Maria delle Grazie</t>
  </si>
  <si>
    <t>Armistizio</t>
  </si>
  <si>
    <t>Operazioni della Soprintendenza milanese</t>
  </si>
  <si>
    <t>Nomina di Wittgens a Commissario di Brera</t>
  </si>
  <si>
    <t>Liberazione di Wittgens</t>
  </si>
  <si>
    <t>Seconda nomina di Wittgens</t>
  </si>
  <si>
    <t>Nomina di Palma Bucarelli a direttrice della GNAM</t>
  </si>
  <si>
    <t>Autorizzazione al trasferimento delle opere a Caprarola</t>
  </si>
  <si>
    <t>Riapertura della GNAM in guerra</t>
  </si>
  <si>
    <t>Trasferimento a Castel Sant'Angelo</t>
  </si>
  <si>
    <t>Autorizzazione al trasferimento delle opere a Castel Sant'Angelo</t>
  </si>
  <si>
    <t>Rientro delle opere e riapertura della GNAM</t>
  </si>
  <si>
    <t>PB_org; ABAB_org</t>
  </si>
  <si>
    <t>Wittgens.jpg</t>
  </si>
  <si>
    <t>Bucarelli2.jpg</t>
  </si>
  <si>
    <t>Rotondi2.jpg</t>
  </si>
  <si>
    <t>Gabrielli.jpg</t>
  </si>
  <si>
    <t>bovio.jpg</t>
  </si>
  <si>
    <t xml:space="preserve"> VIC_loc; ORV_loc</t>
  </si>
  <si>
    <t xml:space="preserve"> PB_loc; MI_loc</t>
  </si>
  <si>
    <t xml:space="preserve"> MPP_loc; MI_loc</t>
  </si>
  <si>
    <t>CS_loc; MI_loc</t>
  </si>
  <si>
    <t>OM_loc; MI_loc</t>
  </si>
  <si>
    <t>MTS_loc; MI_loc</t>
  </si>
  <si>
    <t>AC_loc; BG_loc</t>
  </si>
  <si>
    <t xml:space="preserve">PTM_loc; BS_loc	</t>
  </si>
  <si>
    <t>VMC_loc; MF_loc</t>
  </si>
  <si>
    <t>Cariplo_loc; MI_loc</t>
  </si>
  <si>
    <t>PPC_loc; CAR_loc</t>
  </si>
  <si>
    <t>Prefettura_loc; MI_loc</t>
  </si>
  <si>
    <t>SMG_loc; MI_loc</t>
  </si>
  <si>
    <t>Soprintendenza-MI_loc; MI_loc</t>
  </si>
  <si>
    <t>SV_loc; MI_loc</t>
  </si>
  <si>
    <t>ABAB_loc; MI_loc</t>
  </si>
  <si>
    <t>FW; GP</t>
  </si>
  <si>
    <t>sort_name</t>
  </si>
  <si>
    <t>file_tei</t>
  </si>
  <si>
    <t>file_eac-cpf</t>
  </si>
  <si>
    <t>xml-eac-cpf-wittgens.xml</t>
  </si>
  <si>
    <t>xml-tei-wittgens.xml</t>
  </si>
  <si>
    <t xml:space="preserve">data_fondazione </t>
  </si>
  <si>
    <t xml:space="preserve">data_scioglimento </t>
  </si>
  <si>
    <t>id_contesto</t>
  </si>
  <si>
    <t xml:space="preserve"> ACS_loc; RM_loc</t>
  </si>
  <si>
    <t>PB; PR</t>
  </si>
  <si>
    <t>PB; PR; GCA</t>
  </si>
  <si>
    <t>Min-Ed-RM_loc; RM_loc; Min-Ed-PD_loc; PD_loc</t>
  </si>
  <si>
    <t xml:space="preserve"> CSA_loc; RM_loc</t>
  </si>
  <si>
    <t>1454</t>
  </si>
  <si>
    <t>1475</t>
  </si>
  <si>
    <t>1750</t>
  </si>
  <si>
    <t>1927</t>
  </si>
  <si>
    <t>1887</t>
  </si>
  <si>
    <t>1903</t>
  </si>
  <si>
    <t>1883</t>
  </si>
  <si>
    <t>1447</t>
  </si>
  <si>
    <t>1756</t>
  </si>
  <si>
    <t>PR; ZBR</t>
  </si>
  <si>
    <t>Organo periferico del Ministero dell'Educazione Nazionale responsabile della tutela del patrimonio nelle Marche. Pasquale Rotondi ne divenne soprintendente nell'ottobre 1939 e da questa sede coordinò l'Operazione Salvataggio.</t>
  </si>
  <si>
    <t>Soprintendenza-MAR_loc; AN_loc</t>
  </si>
  <si>
    <t>DG-Arti-RM_loc; RM_loc; DG-Arti-PD_loc; PD_loc</t>
  </si>
  <si>
    <t>PD-URB_loc; URB_loc</t>
  </si>
  <si>
    <t>Rocca Ubaldinesca di Sassocorvaro</t>
  </si>
  <si>
    <t>Rocca_loc; SC_loc</t>
  </si>
  <si>
    <t>GA-VE_loc; VE_loc</t>
  </si>
  <si>
    <t>GF_loc; VE_loc</t>
  </si>
  <si>
    <t>MO_loc; VE_loc</t>
  </si>
  <si>
    <t>GB_loc; RM_loc</t>
  </si>
  <si>
    <t>Corsini_loc; RM_loc</t>
  </si>
  <si>
    <t>Gaulino_loc; RM_loc</t>
  </si>
  <si>
    <t>PPC-sgomberato_ev</t>
  </si>
  <si>
    <t>PR-soprintendente_ev; PR-incarico-tutela_ev; MAR-Lagosta-trasferimento-Rocca_ev; VE-trasferimento-Rocca_ev; VEN-LAZ-LOM-trasferimento-PPC_ev; CS-trasferimento-PPC_ev; VE-trasferimento-PPC_ev; RM-trasferimento-PPC_ev; MI-trasferimento-PPC_ev; occupazione-tedesca-PPC_ev; occultamento-opere-URB_ev; URB-trasferimento-Vaticano_ev; PPC-sgomberato_ev; PES-trasferimento-Rocca_ev; liberazione-URB_ev; chiusura-Rocca_ev</t>
  </si>
  <si>
    <t>Raccolta statale dal 1883 grazie alla donazione del principe Tommaso Corsini. Nel 1943 vennero spedite da Palazzo Corsini 10 casse.</t>
  </si>
  <si>
    <t>Ente militare tedesco operante nel territorio italiano dopo l'armistizio dell'8 settembre 1943. Nell'ottobre 1943 requisì e accasermò il Palazzo dei Principi di Carpegna, costringendo Rotondi a sgomberare il rifugio.</t>
  </si>
  <si>
    <t>Residenza di famiglia di Pasquale Rotondi, usata come rifugio temporaneo per le opere di piccolo formato sottratte al rifugio di Sassocorvaro durante lo sgombero d'emergenza dell'ottobre 1943, sotto la sorveglianza della moglie Zea Bernardini Rotondi.</t>
  </si>
  <si>
    <t>VT_loc; URB_loc</t>
  </si>
  <si>
    <t>Cattedrale-URB_loc; URB_loc</t>
  </si>
  <si>
    <t>Grazie alla mediazione della Chiesa, Rotondi poté recuperare alcune opere da Carpegna e occultarle nella cripta del Duomo di Santa Maria Assunta, in attesa del trasferimento in Vaticano.</t>
  </si>
  <si>
    <t>http://viaf.org/viaf/130782063</t>
  </si>
  <si>
    <t>Vaticano_org</t>
  </si>
  <si>
    <t>Chiesa Cattolica</t>
  </si>
  <si>
    <t>Ente ecclesiastico</t>
  </si>
  <si>
    <t>Durante l'occupazione tedesca del centro Italia, la Santa Sede offrì ospitalità alle opere d'arte sottratte ai rifugi di Carpegna e Urbino da Pasquale Rotondi. Grazie alla mediazione della Chiesa, che reclamò la restituzione dei beni ecclesiastici veneziani custoditi a Carpegna, Rotondi poté recuperare quanto più possibile.</t>
  </si>
  <si>
    <t>Biblio-Oliveriana_loc; PES_loc</t>
  </si>
  <si>
    <t>Museo-Oliveriano_loc; PES_loc</t>
  </si>
  <si>
    <t>istituzione</t>
  </si>
  <si>
    <t>Palazzo Koch (Collezione Gaulino)</t>
  </si>
  <si>
    <t>https://www.wikidata.org/wiki/Q1058677</t>
  </si>
  <si>
    <t>12.488789</t>
  </si>
  <si>
    <t>43.72260</t>
  </si>
  <si>
    <t>12.66450</t>
  </si>
  <si>
    <t>41.897554</t>
  </si>
  <si>
    <t>Musei, organizzazioni ed enti coinvolti nelle vicende</t>
  </si>
  <si>
    <t>ruolo_filtri</t>
  </si>
  <si>
    <t>Direzione</t>
  </si>
  <si>
    <t>Funzionario del Ministero dell'Educazione Nazionale durante la guerra</t>
  </si>
  <si>
    <t>Ispettorato</t>
  </si>
  <si>
    <t>ruolo_card</t>
  </si>
  <si>
    <t>protagonista</t>
  </si>
  <si>
    <t>Direttore delle Gallerie dell'Accademia di Venezia</t>
  </si>
  <si>
    <t>id_rifugi</t>
  </si>
  <si>
    <t>id_istituzioni</t>
  </si>
  <si>
    <t>GNAM_org; GNAM-arch_org</t>
  </si>
  <si>
    <t>PD-URB_org; GA-VE_org; GF_org; MO_org; GB_org; Corsini_org; Gaulino_org; Biblio-Oliveriana_org; Museo-Oliveriano_org</t>
  </si>
  <si>
    <t>VMC_org; VIC_org; PPC_org; Cariplo_org;</t>
  </si>
  <si>
    <t>id_enti</t>
  </si>
  <si>
    <t>PFC_org; CSA_org</t>
  </si>
  <si>
    <t xml:space="preserve"> Min-Ed_org</t>
  </si>
  <si>
    <t>DG-Arti_org; Min-Ed_org</t>
  </si>
  <si>
    <t>Rocca_org; PPC_org;</t>
  </si>
  <si>
    <t>Rocca_org; PPC_org; Cattedrale-URB_org</t>
  </si>
  <si>
    <t>GA-VE_org; GF_org; MO_org; Biblio-Oliveriana_org; Museo-Oliveriano_org</t>
  </si>
  <si>
    <t>Ente privato</t>
  </si>
  <si>
    <t>Ente pubblico territoriale</t>
  </si>
  <si>
    <t>Istituto di Credito</t>
  </si>
  <si>
    <t>Pinacoteca diretta da Fernanda Wittgens dal 1940, che si occupò della tutela del patrimonio qui costudito e della ricostruzione in seguito ai danni subiti durante la guerra.</t>
  </si>
  <si>
    <t>Il patrimonio artistico qui custodito è stato raccolto e trasferito in rifugi sicuri durante la seconda guerra mondiale.</t>
  </si>
  <si>
    <t>CS_org; VMC_org; Cariplo_org; VIC_org; PPC_org</t>
  </si>
  <si>
    <t>I sotterranei sono stati utilizzati come rifugio da Wittgens per ospitare il patrimonio artistico proveniente da diversi musei nel territorio milanese e lombardo.</t>
  </si>
  <si>
    <t>Organo di rappresentanza del Governo a Milano che si occupò di fornire varie autorizzazioni a Wittgens per il trasferimento delle opere.</t>
  </si>
  <si>
    <t>Residenza situata nei pressi di Carpegna (PU), utilizzato come grande centro di raccolta dove Pasquale Rotondi ospitò migliaia di opere provenienti dall'Italia centro-settentrionale.</t>
  </si>
  <si>
    <t>Residenza situata nei pressi di Orvieto (TR), utilizzata come ricovero per le opere d'arte evacuate da Villa Marini-Clarelli a partire dal settembre 1941.</t>
  </si>
  <si>
    <t>Villa seicentesca a Montefreddo (PG), primo rifugio utilizzato da Wittgens nel 1940 per ospitare i capolavori di Brera e di altri musei milanesi e lombardi.</t>
  </si>
  <si>
    <t>Istituto penitenziario di Milano, luogo di detenzione di Wittgens tra il 1944 e il 1945, in seguito al suo arresto per attività clandestina e anti-fascista.</t>
  </si>
  <si>
    <t>Organo politico-militare istituito dagli Alleati nel 1943 per gestire l'amministrazione dei territori liberati fino al 1947. Nominò Wittgens commissario di Brera e collaborò alla prima fase di ricostruzione della Pinacoteca.</t>
  </si>
  <si>
    <t>Galleria diretta da Palma Bucarelli, che si occupò della tutela del patrimonio artistico qui custodito e della riapertura e promozione nel dopoguerra.</t>
  </si>
  <si>
    <t>Archivio digitale che conserva documentazione sulle attività della galleria, tra cui anche elenchi delle opere trasferite a Caprarola, resoconti degli spostamenti, disposizioni per la protezione antiaerea, dossier sulle mostre.</t>
  </si>
  <si>
    <t>Istituito nel 1929 in epoca fascista, ha sostituito il Ministero della Pubblica Istruzione ed è stato soppresso nel 1944.</t>
  </si>
  <si>
    <t>Villa cinquecentesca utilizzata come rifugio da Bucarelli per le opere della GNAM, distante da obiettivi militari ma abbastanza vicina a Roma da permetterle sopralluoghi frequenti.</t>
  </si>
  <si>
    <t>Complesso museale utilizzato come secondo rifugio da Bucarelli per le opere della GNAM dopo l'armistizio del 1943, quando Palazzo Farnese di Caprarola non era più sicuro per l'avvicinarsi delle truppe tedesche.</t>
  </si>
  <si>
    <t>Sede della Galleria Nazionale delle Marche, inizialmente scelto dalla Direzione Generale delle Arti come rifugio per le opere, ma scartato per via della vicinanza a un deposito bellico dell'Aviazione. Usato da Rotondi come rifugio temporaneo durante l'occupazione tedesca, murando alcune opere nei sotterranei.</t>
  </si>
  <si>
    <t>Fortezza rinascimentale scelta da Rotondi come rifugio principale: tra il 1940 e il 1945 custodì oltre 10.000 opere d'arte. Il rifugio fu chiuso il 14 settembre 1945.</t>
  </si>
  <si>
    <t>Fondate nel 1750 contestualmente all'Accademia di Belle Arti, conservano la più importante collezione di pittura veneta. Vittorio Moschini, durante la guerra, gestì la protezione delle opere trasferendole al Palazzo dei Principi di Carpegna.</t>
  </si>
  <si>
    <t>Le opere qui conservate vennero spedite da Vittorio Moschini a Carpegna.</t>
  </si>
  <si>
    <t>Le opere qui conservate vennero spedite da Vittorio Moschini a Carpegna nel maggio 1943.</t>
  </si>
  <si>
    <t>Istituto dotato di autonomia speciale del Ministero della Cultura, conserva documentazione amministrativa dello Stato.</t>
  </si>
  <si>
    <t>Galleria che ospita la collezione del cardinale Scipione Borghese. Le opere qui conservate vennero spedite a Carpegna in 11 casse nel giugno 1943.</t>
  </si>
  <si>
    <t>Le opere qui conservate vennero spedite a Carpegna in 4 casse nel 1943.</t>
  </si>
  <si>
    <t>Durante la guerra il materiale qui conservato fu spedito alla Rocca di Sassocorvaro.</t>
  </si>
  <si>
    <t>https://thes.bncf.firenze.sbn.it/termine.php?id=32821</t>
  </si>
  <si>
    <t>https://thes.bncf.firenze.sbn.it/termine.php?id=20289</t>
  </si>
  <si>
    <t>https://www.wikidata.org/wiki/Q3778681</t>
  </si>
  <si>
    <t>https://www.wikidata.org/wiki/Q3491114</t>
  </si>
  <si>
    <t>https://thes.bncf.firenze.sbn.it/termine.php?id=16778</t>
  </si>
  <si>
    <t>https://thes.bncf.firenze.sbn.it/termine.php?id=2288</t>
  </si>
  <si>
    <t>https://www.wikidata.org/wiki/Q30301727</t>
  </si>
  <si>
    <t>https://www.wikidata.org/wiki/Q328376</t>
  </si>
  <si>
    <t>https://thes.bncf.firenze.sbn.it/termine.php?id=1909</t>
  </si>
  <si>
    <t>Funzionariato</t>
  </si>
  <si>
    <t>xml-tei-bucarelli.xml</t>
  </si>
  <si>
    <t>altro</t>
  </si>
  <si>
    <t>tipologia_eac-cpf</t>
  </si>
  <si>
    <t>Durante il conflitto, i sotterranei sono stati utilizzati come deposito temporaneo prima del trasferimento delle opere in rifugi più sicuri.</t>
  </si>
  <si>
    <t>Durante il conflitto, i sotterranei sono stati utilizati come deposito temporaneo prima del trasferimento delle opere in rifugi più sicuri.</t>
  </si>
  <si>
    <t>Arrivo delle casse di Brera a Villa Marini – Clarelli</t>
  </si>
  <si>
    <t>Museo Archeologico Regionale "Antonio Salinas"</t>
  </si>
  <si>
    <t>Chiesa di Sant'ignazio all'Olivella</t>
  </si>
  <si>
    <t>Museo G. Pitrè</t>
  </si>
  <si>
    <t>Galleria Nazionale di Palazzo Abatellis</t>
  </si>
  <si>
    <t>Galleria d'Arte Moderna</t>
  </si>
  <si>
    <t>Trapani</t>
  </si>
  <si>
    <t>Agrigento</t>
  </si>
  <si>
    <t>Caltanissetta</t>
  </si>
  <si>
    <t>Monreale</t>
  </si>
  <si>
    <t>https://www.geonames.org/7828764/museo-archeologico-regionale-antonio-salinas.html</t>
  </si>
  <si>
    <t>38.1208</t>
  </si>
  <si>
    <t>13.3605</t>
  </si>
  <si>
    <t>Basilica abbaziale di San Martino delle Scale</t>
  </si>
  <si>
    <t>https://www.geonames.org/2523918/palermo.html</t>
  </si>
  <si>
    <t>37.81667</t>
  </si>
  <si>
    <t>13.58333</t>
  </si>
  <si>
    <t>Soprintendenza riceve ordine da ministero di trasferire le opere custodite nel Museo Nazionale a San Martino</t>
  </si>
  <si>
    <t>Mario</t>
  </si>
  <si>
    <t>Soprintendente ai Monumenti per la Sicilia occidentale</t>
  </si>
  <si>
    <t>MG</t>
  </si>
  <si>
    <t>logistica; tutela; rifugio</t>
  </si>
  <si>
    <t>Soprintendente alle Antichità per le province di Palermo e Trapani, Agrigento e Caltanissetta</t>
  </si>
  <si>
    <t>Soprintendenza-Sicilia-antichità_org</t>
  </si>
  <si>
    <t>Soprintendenza-Sicilia-monumenti_org</t>
  </si>
  <si>
    <t>Soprintendenza alle Antichità della Sicilia occidentale</t>
  </si>
  <si>
    <t>Soprintendenza ai Monumenti della la Sicilia occidentale</t>
  </si>
  <si>
    <t>Archeologico-PA_org</t>
  </si>
  <si>
    <t>SanMartino_org</t>
  </si>
  <si>
    <t>SantIgnazio_org</t>
  </si>
  <si>
    <t>Etnografico-PA_org</t>
  </si>
  <si>
    <t>Galleria-PA_org</t>
  </si>
  <si>
    <t>Moderna-PA_org</t>
  </si>
  <si>
    <t>AG_loc</t>
  </si>
  <si>
    <t>TP_loc</t>
  </si>
  <si>
    <t>MON_loc</t>
  </si>
  <si>
    <t>Licata</t>
  </si>
  <si>
    <t>Gela</t>
  </si>
  <si>
    <t>Scoglitti</t>
  </si>
  <si>
    <t>Pachino</t>
  </si>
  <si>
    <t>Marzamemi</t>
  </si>
  <si>
    <t>Avola</t>
  </si>
  <si>
    <t>Siracusa</t>
  </si>
  <si>
    <t>La 7ª Armata statunitense (guidata dal generale George Patton) sbarcò nella zona sud-occidentale e meridionale</t>
  </si>
  <si>
    <t>L'8ª Armata britannica (guidata dal generale Bernard Montgomery) sbarcò lungo la costa sud-orientale e orientale</t>
  </si>
  <si>
    <t>Licata_loc</t>
  </si>
  <si>
    <t>Gela_loc</t>
  </si>
  <si>
    <t>Scoglitti_loc</t>
  </si>
  <si>
    <t>Pachino_loc</t>
  </si>
  <si>
    <t>Marzamemi_loc</t>
  </si>
  <si>
    <t>Avola_loc</t>
  </si>
  <si>
    <t>Siracusa_loc</t>
  </si>
  <si>
    <t>https://www.wikidata.org/wiki/Q1954237</t>
  </si>
  <si>
    <t>https://www.wikidata.org/wiki/Q2223886</t>
  </si>
  <si>
    <t>https://www.wikidata.org/wiki/Q122476</t>
  </si>
  <si>
    <t>https://www.wikidata.org/wiki/Q1255652</t>
  </si>
  <si>
    <t>https://www.wikidata.org/wiki/Q1492337</t>
  </si>
  <si>
    <t>https://www.wikidata.org/wiki/Q3947649</t>
  </si>
  <si>
    <t>CL_loc</t>
  </si>
  <si>
    <t>Soprintendenza-Sicilia-antichità_loc</t>
  </si>
  <si>
    <t>Soprintendenza-Sicilia-monumenti_loc</t>
  </si>
  <si>
    <t>Archeologico-PA_loc</t>
  </si>
  <si>
    <t>SanMartino_loc</t>
  </si>
  <si>
    <t>SantIgnazio_loc</t>
  </si>
  <si>
    <t>Etnografico-PA_loc</t>
  </si>
  <si>
    <t>Galleria-PA_loc</t>
  </si>
  <si>
    <t>Moderna-PA_loc</t>
  </si>
  <si>
    <t>https://www.geonames.org/2522876/trapani.html</t>
  </si>
  <si>
    <t>38.0176</t>
  </si>
  <si>
    <t>12.53617</t>
  </si>
  <si>
    <t>https://www.geonames.org/6541860/agrigento.html</t>
  </si>
  <si>
    <t>37.32084</t>
  </si>
  <si>
    <t>13.58876</t>
  </si>
  <si>
    <t>https://www.geonames.org/6541861/caltanissetta.html</t>
  </si>
  <si>
    <t>37.48774</t>
  </si>
  <si>
    <t>14.04497</t>
  </si>
  <si>
    <t>https://www.geonames.org/8949577/san-martino-delle-scale.html</t>
  </si>
  <si>
    <t>38.09062</t>
  </si>
  <si>
    <t>13.25412</t>
  </si>
  <si>
    <t>https://www.geonames.org/6540050/monreale.html</t>
  </si>
  <si>
    <t>38.08005</t>
  </si>
  <si>
    <t>13.28854</t>
  </si>
  <si>
    <t>38.12065</t>
  </si>
  <si>
    <t>13.36073</t>
  </si>
  <si>
    <t>38.166833</t>
  </si>
  <si>
    <t>13.330375</t>
  </si>
  <si>
    <t>38.116667</t>
  </si>
  <si>
    <t>13.371111</t>
  </si>
  <si>
    <t>38.115159</t>
  </si>
  <si>
    <t>13.3657</t>
  </si>
  <si>
    <t>https://www.geonames.org/6541340/licata.html</t>
  </si>
  <si>
    <t>13.94607</t>
  </si>
  <si>
    <t>https://www.geonames.org/6541964/gela.html</t>
  </si>
  <si>
    <t>14.23067</t>
  </si>
  <si>
    <t>14.43355</t>
  </si>
  <si>
    <t>https://www.geonames.org/2523184/scoglitti.html</t>
  </si>
  <si>
    <t>https://www.geonames.org/6539213/pachino.html</t>
  </si>
  <si>
    <t>15.0907</t>
  </si>
  <si>
    <t>37.10714</t>
  </si>
  <si>
    <t>37.08034</t>
  </si>
  <si>
    <t>36.89424</t>
  </si>
  <si>
    <t>36.71864</t>
  </si>
  <si>
    <t>https://www.geonames.org/2524240/marzamemi.html</t>
  </si>
  <si>
    <t>36.74229</t>
  </si>
  <si>
    <t>15.11805</t>
  </si>
  <si>
    <t>https://www.geonames.org/6540854/avola.html</t>
  </si>
  <si>
    <t>36.91134</t>
  </si>
  <si>
    <t>15.1395</t>
  </si>
  <si>
    <t>https://www.geonames.org/2523083/siracusa.html</t>
  </si>
  <si>
    <t>37.07542</t>
  </si>
  <si>
    <t>15.28664</t>
  </si>
  <si>
    <t>JBM-soprintendente-Sicilia_ev</t>
  </si>
  <si>
    <t>JBM-estensione-incarico_ev</t>
  </si>
  <si>
    <t>ordine-Min-Ed_ev</t>
  </si>
  <si>
    <t>Archeologico-PA-trasferimento-SanMartino_ev</t>
  </si>
  <si>
    <t>Soprintendenza-Sicilia-Archeologico_ev</t>
  </si>
  <si>
    <t>bombardamento-Archeologico_ev</t>
  </si>
  <si>
    <t>sbarcoAlleati_ev</t>
  </si>
  <si>
    <t>ricostruzione-Archeologico_ev</t>
  </si>
  <si>
    <t>inaugurazione-Archeologico_ev</t>
  </si>
  <si>
    <t>JBM; MG</t>
  </si>
  <si>
    <t>PA_loc; Archeologico-PA_loc</t>
  </si>
  <si>
    <t>PA_loc; Archeologico-PA_loc; MON_loc; SanMartino_loc</t>
  </si>
  <si>
    <t>MON_loc; SanMartino_loc</t>
  </si>
  <si>
    <t>Rocca_org; PPC_org; VT_org; Cattedrale-URB_org</t>
  </si>
  <si>
    <t>L'incarico di Bovio viene esteso alle province di Agrigento e Caltanissetta.</t>
  </si>
  <si>
    <t>Jole Bovio Marconi diventa Soprintendente alle Antichità per le province di Palermo e Trapani.</t>
  </si>
  <si>
    <t>Nomina di Jole Bovio Marconi</t>
  </si>
  <si>
    <t>Estensione dell'incarcio di Bovio</t>
  </si>
  <si>
    <t>Operazioni di trasferimento delle opere del Museo Nazionale di Palermo</t>
  </si>
  <si>
    <t>Trasferimento degli ultimi reperti del Museo Nazionale</t>
  </si>
  <si>
    <t>La Soprintendenza distacca gli ultimi reperti aercheologici che con gli autocarri vengono trasportati alla Basilica di San Martino.</t>
  </si>
  <si>
    <t>Un bombardamento danneggia la Chiesa di Sant'ignazio e il lato meridionale del cortile del Museo.</t>
  </si>
  <si>
    <t>Le opere vengono trasferite dal Museo Nazionale di Palermo alla Basilica abbaziale di San Martino delle Scale a Monreale.</t>
  </si>
  <si>
    <t>La Soprintendenza della Sicilia Occidentale riceve ordine dal Ministero di trasferire le opere custodite nel Museo Nazionale a San Martino.</t>
  </si>
  <si>
    <t>Bombardamento di Palermo</t>
  </si>
  <si>
    <t>Sbarco degli alleati</t>
  </si>
  <si>
    <t>Ricostruzione del Museo Nazionale</t>
  </si>
  <si>
    <t>Inaugurazione del Museo Nazionale</t>
  </si>
  <si>
    <t>Il Museo Nazionale viene riaperto col nome Museo Archeologico Regionale "Antonio Salinas".</t>
  </si>
  <si>
    <t>Gli alleati sbarcano in Sicilia e inizio la collaborazione con i Monuments men.</t>
  </si>
  <si>
    <t>La ricostruzione del Museo Nazionale dura 7 anni.</t>
  </si>
  <si>
    <t>DG-Arti_org; Min-Ed_org; Soprintendenza-Sicilia-antichità_org; Soprintendenza-Sicilia-monumenti_org</t>
  </si>
  <si>
    <t>soprintendenza; valorizzazione; comando-alleato; guerra; logistica; tutela; rifugio</t>
  </si>
  <si>
    <t>Guiotto</t>
  </si>
  <si>
    <t>https://www.wikidata.org/wiki/Q61476560</t>
  </si>
  <si>
    <t>Campodarsego</t>
  </si>
  <si>
    <t>Architetto e Soprintendente ai Monumenti per la Sicilia occidentale(1942-1949). Si occupò della tutela e del salvataggio del patrimonio artistico di sua competenza attarverso operazioni di trasferimento delle opere d'arte , opere di protezione antiaerea e collaborando con i Monuments men dopo lo sbarco degli Alleati in Sicilia.</t>
  </si>
  <si>
    <t>Archeologa e Soprintendente alle Antichità della Sicilia Occidentale (1939-1960). Durante la Seconda Guerra Mondiale organizzò il trasferimento delle collezioni del Museo Archeologico Nazionale nell'Abbazia di San Martino delle Scale. Durante la guerra collaborò con i Monuments men dopo lo sbarco degli Alleati in Sicilia e nel dopoguerra diresse la ricostruzione del Museo (oggi Museo Salinas).</t>
  </si>
  <si>
    <t>Guiotto.png</t>
  </si>
  <si>
    <t>PR; NG</t>
  </si>
  <si>
    <t>Archivio della Soprintendenza Archeologia Belle Arti e Paesaggio per la città metropolitana di Torino</t>
  </si>
  <si>
    <t>soprintendenza; valorizzazione; guerra; logistica; tutela; rifugio; archivio</t>
  </si>
  <si>
    <t>Soprintendenza all'Arte Medievale e Moderna del Piemonte e della Liguria</t>
  </si>
  <si>
    <t>CA</t>
  </si>
  <si>
    <t>Carlo</t>
  </si>
  <si>
    <t>Aru</t>
  </si>
  <si>
    <t>https://www.wikidata.org/wiki/Q18601508</t>
  </si>
  <si>
    <t>Castello di Settime</t>
  </si>
  <si>
    <t>Castello di Montà d'Alba</t>
  </si>
  <si>
    <t>https://www.wikidata.org/wiki/Q131564608</t>
  </si>
  <si>
    <t>Galleria Sabauda</t>
  </si>
  <si>
    <t>Castello di Guiglia</t>
  </si>
  <si>
    <t>Palazzo Borromeo</t>
  </si>
  <si>
    <t>Anna Maria</t>
  </si>
  <si>
    <t>Brizio</t>
  </si>
  <si>
    <t>Storica dell'arte e funzionaria della Soprintendenza di Piemonte e Liguria. Durante la Seconda Guerra Mondiale collaborò con Carlo Aru per mettere in salvo i capolavori torinesi trasferendoli in rifugi sicuri. Nel dopoguerra, come Soprintendente (1952-1966), diresse l'opera di restauro dei monumenti di Torino danneggiati dai bombardamenti e curò la riorganizzazione dei musei piemontesi.</t>
  </si>
  <si>
    <t>AMB</t>
  </si>
  <si>
    <t>NG; AOQ</t>
  </si>
  <si>
    <t>Opere mobili raccolte presso i castelli</t>
  </si>
  <si>
    <t>dai castelli opere spostate a castello Guiglia</t>
  </si>
  <si>
    <t>dopo armistizio opere spostate a Palazzo Borromeo</t>
  </si>
  <si>
    <t>https://www.wikidata.org/wiki/Q22069308</t>
  </si>
  <si>
    <t>https://www.wikidata.org/wiki/Q3617742</t>
  </si>
  <si>
    <t>Cagliari</t>
  </si>
  <si>
    <t>Soprintendente alle Gallerie per il Piemonte</t>
  </si>
  <si>
    <t>Storico dell'arte e soprintendente alle Gallerie per il Piemonte (1934-1952). Durante la Seconda Guerra Mondiale collaborò con Noemi Gabrielli per mettere in salvo i capolavori torinesi trasferendoli in rifugi sicuri.</t>
  </si>
  <si>
    <t>Direttrice della Galleria Sabauda</t>
  </si>
  <si>
    <t>Sale d'Alessandria</t>
  </si>
  <si>
    <t>Rapallo</t>
  </si>
  <si>
    <t>Direttrice della Galleria Sabauda (1936–1947) e docente universitaria. Nel corso della Seconda guerra mondiale, la Brizio si impegnò attivamente per proteggere e mettere in sicurezza le opere d'arte del museo, scortandole personalmente nei rifugi sicuri.</t>
  </si>
  <si>
    <t>CA; AOQ; AMB</t>
  </si>
  <si>
    <t>NG; CA; AMB</t>
  </si>
  <si>
    <t>NG; AOQ; CA; AMB</t>
  </si>
  <si>
    <t>Arch-Soprintendenza-TO_org</t>
  </si>
  <si>
    <t>Soprintendenza-Piemonte-Liguria_org</t>
  </si>
  <si>
    <t>Sabauda_org</t>
  </si>
  <si>
    <t>Borromeo_org</t>
  </si>
  <si>
    <t>Soprintendenza-Piemonte-Liguria_loc</t>
  </si>
  <si>
    <t>Settime_loc</t>
  </si>
  <si>
    <t>Monta_loc</t>
  </si>
  <si>
    <t>Sabauda_loc</t>
  </si>
  <si>
    <t>Guiglia_loc</t>
  </si>
  <si>
    <t>Borromeo_loc</t>
  </si>
  <si>
    <t xml:space="preserve"> 8.526154</t>
  </si>
  <si>
    <t>45.896310</t>
  </si>
  <si>
    <t>Stresa</t>
  </si>
  <si>
    <t>8.525454</t>
  </si>
  <si>
    <t>45.888605</t>
  </si>
  <si>
    <t>TO_loc</t>
  </si>
  <si>
    <t>Stresa_loc</t>
  </si>
  <si>
    <t>45.071948</t>
  </si>
  <si>
    <t>7.685207</t>
  </si>
  <si>
    <t>45.069179</t>
  </si>
  <si>
    <t>7.685415</t>
  </si>
  <si>
    <t>44.964207</t>
  </si>
  <si>
    <t>8.112800</t>
  </si>
  <si>
    <t>Settime</t>
  </si>
  <si>
    <t>Guiglia</t>
  </si>
  <si>
    <t>Montà</t>
  </si>
  <si>
    <t>44.813192</t>
  </si>
  <si>
    <t>7.965963</t>
  </si>
  <si>
    <t>44.814646</t>
  </si>
  <si>
    <t>7.956029</t>
  </si>
  <si>
    <t>44.962440</t>
  </si>
  <si>
    <t>8.113844</t>
  </si>
  <si>
    <t>44.426255</t>
  </si>
  <si>
    <t>10.960191</t>
  </si>
  <si>
    <t>45.069065</t>
  </si>
  <si>
    <t>7.685994</t>
  </si>
  <si>
    <t>44.428591</t>
  </si>
  <si>
    <t>10.956945</t>
  </si>
  <si>
    <t>https://www.geonames.org/3165524/turin.html</t>
  </si>
  <si>
    <t>https://www.geonames.org/6543505/settime.html</t>
  </si>
  <si>
    <t>https://www.geonames.org/6541803/monta.html</t>
  </si>
  <si>
    <t>https://www.geonames.org/3175676/guiglia.html</t>
  </si>
  <si>
    <t>https://www.geonames.org/8964994/stresa.html</t>
  </si>
  <si>
    <t>https://www.geonames.org/6697884/palazzo-carignano.html</t>
  </si>
  <si>
    <t>https://www.geonames.org/6697915/galleria-sabauda.html</t>
  </si>
  <si>
    <t>https://www.wikidata.org/wiki/Q55164626</t>
  </si>
  <si>
    <t>https://www.wikidata.org/wiki/Q3889703</t>
  </si>
  <si>
    <t>https://www.wikidata.org/wiki/Q2245152</t>
  </si>
  <si>
    <t>https://www.wikidata.org/wiki/Q134371478</t>
  </si>
  <si>
    <t>TO-trasferimento-Castelli_ev</t>
  </si>
  <si>
    <t>Castelli-trasferimento-Guiglia_ev</t>
  </si>
  <si>
    <t>Guiglia-trasferimento-Borromeo_ev</t>
  </si>
  <si>
    <t>Le opere vengono trasferite dai castelli torinesi al Castello di Guiglia.</t>
  </si>
  <si>
    <t>Le opere vengono trasferite dal Castello di Guiglia al Palazzo Borromeo sull'Isola Bella.</t>
  </si>
  <si>
    <t>Le opere della Galleria Sabauda vengono raccolte presso i castelli torinesi.</t>
  </si>
  <si>
    <t>TO_loc; Sabauda_loc</t>
  </si>
  <si>
    <t>C-Settime_loc</t>
  </si>
  <si>
    <t>C-Monta_loc</t>
  </si>
  <si>
    <t>C-Guiglia_loc</t>
  </si>
  <si>
    <t>TO_loc; Sabauda_loc; Settime_loc; Monta_loc; C-Settime_loc; C-Monta_loc</t>
  </si>
  <si>
    <t>Settime_loc; Monta_loc; C-Settime_loc; C-Monta_loc</t>
  </si>
  <si>
    <t>Settime_loc; Monta_loc; C-Settime_loc; C-Monta_loc; Guiglia_loc; C-Guiglia_loc</t>
  </si>
  <si>
    <t>Guiglia_loc; C-Guiglia_loc</t>
  </si>
  <si>
    <t>Guiglia_loc; C-Guiglia_loc; Stresa_loc; Borromeo_loc</t>
  </si>
  <si>
    <t>Stresa_loc; Borromeo_loc</t>
  </si>
  <si>
    <t>C-Monta_org</t>
  </si>
  <si>
    <t>C-Guiglia_org</t>
  </si>
  <si>
    <t>C-Settime_org</t>
  </si>
  <si>
    <t>Brizio.jpg</t>
  </si>
  <si>
    <t>Veano</t>
  </si>
  <si>
    <t>Gaione</t>
  </si>
  <si>
    <t>Complesso della Pilotta</t>
  </si>
  <si>
    <t>Villa Alberoni</t>
  </si>
  <si>
    <t>Villa Paganini</t>
  </si>
  <si>
    <t>Castello di Torrechiara</t>
  </si>
  <si>
    <t>Soprintendenza alle Gallerie e alle Opere d'Arte medievali e Moderne per le province di Parma e Piacenza</t>
  </si>
  <si>
    <t>Soprintendenza alle Gallerie e alle Opere d'Arte medievali e Moderne per le province di Modena e Reggio Emilia</t>
  </si>
  <si>
    <t>Pilotta_org</t>
  </si>
  <si>
    <t>Pilotta_loc</t>
  </si>
  <si>
    <t>C-Torrechiara_org</t>
  </si>
  <si>
    <t>Soprintendenza-PR-PC_org</t>
  </si>
  <si>
    <t>Soprintendenza-MO-RE_org</t>
  </si>
  <si>
    <t>VA_org</t>
  </si>
  <si>
    <t>VP_org</t>
  </si>
  <si>
    <t>VA_loc</t>
  </si>
  <si>
    <t>VP_loc</t>
  </si>
  <si>
    <t>C-Torrechiara_loc</t>
  </si>
  <si>
    <t>PR_loc</t>
  </si>
  <si>
    <t>PC_loc</t>
  </si>
  <si>
    <t>Veano_loc</t>
  </si>
  <si>
    <t>Gaione_loc</t>
  </si>
  <si>
    <t>Torrechiara</t>
  </si>
  <si>
    <t>TC_loc</t>
  </si>
  <si>
    <t>Musei civici di Palazzo Farnese</t>
  </si>
  <si>
    <t>Galleria d'arte moderna Ricci Oddi</t>
  </si>
  <si>
    <t>MC-PF_org</t>
  </si>
  <si>
    <t>Ricci_org</t>
  </si>
  <si>
    <t>MC-PF_loc</t>
  </si>
  <si>
    <t>Ricci_loc</t>
  </si>
  <si>
    <t>Lettera di Carlo Anti</t>
  </si>
  <si>
    <t>Sollecitazioni ma mediaizone tedesco, poi arriva lettera</t>
  </si>
  <si>
    <t>Parma liberata</t>
  </si>
  <si>
    <t>Anti</t>
  </si>
  <si>
    <t>CAN</t>
  </si>
  <si>
    <t>Direttore generale delle arti del Ministero dell'educazione nazionale</t>
  </si>
  <si>
    <t>Villafranca di Verona</t>
  </si>
  <si>
    <t>http://viaf.org/viaf/35260547</t>
  </si>
  <si>
    <t>CAN-direttore_ev</t>
  </si>
  <si>
    <t>Nomina di Carlo Anti</t>
  </si>
  <si>
    <t>Carlo Anti viene nominato direttore della Direzione generale delle arti del Ministero dell'educazione nazionale.</t>
  </si>
  <si>
    <t>Soprintendente a Parma durante il conflitto. Organizzò il ricovero di capolavori nel Castello di Torrechiara e riuscì a preservare l'integrità delle collezioni della Pilotta, assicurandosi personalmente della sicurezza dei depositi fino alla Liberazione.</t>
  </si>
  <si>
    <t>Archeologo e rettore dell'Università di Padova dal 1932 al 1943. Durante la seconda guerra mondiale ricoprì la carica di Direttore generale delle arti per la RSI, sfruttando il ruolo per proteggere il patrimonio artistico italiano dalle spoliazioni naziste. Allontanato nel dopoguerra, fu poi reintegrato e tornò all'insegnamento universitario fino al pensionamento.</t>
  </si>
  <si>
    <t>http://viaf.org/viaf/5868148122904295200001</t>
  </si>
  <si>
    <t>http://viaf.org/viaf/154546393</t>
  </si>
  <si>
    <t>http://viaf.org/viaf/122798614</t>
  </si>
  <si>
    <t>https://www.wikidata.org/wiki/Q27929472</t>
  </si>
  <si>
    <t>http://viaf.org/viaf/239192413</t>
  </si>
  <si>
    <t>http://viaf.org/viaf/135862520</t>
  </si>
  <si>
    <t>http://viaf.org/viaf/137848876</t>
  </si>
  <si>
    <t>https://www.geonames.org/3171457/parma.html</t>
  </si>
  <si>
    <t>https://www.geonames.org/3171058/piacenza.html</t>
  </si>
  <si>
    <t>https://www.geonames.org/8966149/veano.html</t>
  </si>
  <si>
    <t>https://www.geonames.org/8949455/gaione.html</t>
  </si>
  <si>
    <t>44.75827</t>
  </si>
  <si>
    <t>10.29031</t>
  </si>
  <si>
    <t>https://www.geonames.org/3165465/torrechiara.html</t>
  </si>
  <si>
    <t>44.65832</t>
  </si>
  <si>
    <t>10.28314</t>
  </si>
  <si>
    <t>https://www.geonames.org/7302924/castello-di-torrechiara.html</t>
  </si>
  <si>
    <t>https://www.geonames.org/10286908/palazzo-della-pilotta.html</t>
  </si>
  <si>
    <t>https://www.geonames.org/8133640/musei-civici-di-palazzo-farnese.html</t>
  </si>
  <si>
    <t>https://www.geonames.org/10286297/galleria-d-arte-ricci-oddi.html</t>
  </si>
  <si>
    <t>44.801468</t>
  </si>
  <si>
    <t>10.328366</t>
  </si>
  <si>
    <t>44.804925</t>
  </si>
  <si>
    <t>10.326240</t>
  </si>
  <si>
    <t>45.052036</t>
  </si>
  <si>
    <t>9.696602</t>
  </si>
  <si>
    <t>44.885610</t>
  </si>
  <si>
    <t>9.614734</t>
  </si>
  <si>
    <t>10.287587</t>
  </si>
  <si>
    <t>44.754376</t>
  </si>
  <si>
    <t>9.619692</t>
  </si>
  <si>
    <t>https://nominatim.openstreetmap.org/ui/details.html?osmtype=R&amp;osmid=2449475&amp;class=building</t>
  </si>
  <si>
    <t>10.278114</t>
  </si>
  <si>
    <t>44.886967</t>
  </si>
  <si>
    <t>44.656766</t>
  </si>
  <si>
    <t>9.696410</t>
  </si>
  <si>
    <t>9.692052</t>
  </si>
  <si>
    <t>45.055766</t>
  </si>
  <si>
    <t>45.048427</t>
  </si>
  <si>
    <t>PR; GCA; CAN</t>
  </si>
  <si>
    <t>Soprintendenza-Piemonte-Liguria_org; Soprintendenza-PR-PC_org; Soprintendenza-MO-RE_org</t>
  </si>
  <si>
    <t>Direzione-RG-PR_org</t>
  </si>
  <si>
    <t>Direzione della Regia Galleria di Parma</t>
  </si>
  <si>
    <t>Pilotta_org; MC-PF_org; Ricci_org</t>
  </si>
  <si>
    <t>MC-PF_org; Ricci_org</t>
  </si>
  <si>
    <t>VA_org; VP_org; C-Torrechiara_org</t>
  </si>
  <si>
    <t>VP_org; C-Torrechiara_org</t>
  </si>
  <si>
    <t>VA_org; C-Torrechiara_org</t>
  </si>
  <si>
    <t>VA_org; VP_org</t>
  </si>
  <si>
    <t>Soprintendenza-PR-PC_org; Soprintendenza-MO-RE_org; Direzione-RG-PR_org</t>
  </si>
  <si>
    <t>Soprintendenza-PR-PC_org; Soprintendenza-MO-RE_org; Min-Ed_org; DG-Arti_org</t>
  </si>
  <si>
    <t>PR_loc; Pilotta_loc</t>
  </si>
  <si>
    <t>Veano_loc; VA_loc</t>
  </si>
  <si>
    <t>TC_loc; C-Torrechiara_loc</t>
  </si>
  <si>
    <t>PC_loc; MC-PF_loc</t>
  </si>
  <si>
    <t>PC_loc; Ricci_loc</t>
  </si>
  <si>
    <t>logistica; tutela; occupazione-tedesca</t>
  </si>
  <si>
    <t>Soprintendenza-Piemonte-Liguria_org; Min-Ed_org; DG-Arti_org</t>
  </si>
  <si>
    <t>Soprintendenza-Sicilia-monumenti_org; Min-Ed_org; DG-Arti_org</t>
  </si>
  <si>
    <t>Soprintendenza-Sicilia-antichità_org; Min-Ed_org; DG-Arti_org</t>
  </si>
  <si>
    <t>ABAB_org; Soprintendenza-MI_org; Min-Ed_org; DG-Arti_org</t>
  </si>
  <si>
    <t>Min-Ed_org; DG-Arti_org</t>
  </si>
  <si>
    <t>GNAM-arch_org; ACS_org;  Min-Ed_org; DG-Arti_org</t>
  </si>
  <si>
    <t>PA_loc; Soprintendenza-Sicilia-antichità_loc</t>
  </si>
  <si>
    <t>PA_loc; Soprintendenza-Sicilia-monumenti_loc</t>
  </si>
  <si>
    <t>PA_loc; SantIgnazio_loc</t>
  </si>
  <si>
    <t>PA_loc; Etnografico-PA_loc</t>
  </si>
  <si>
    <t>Bucarelli Palma</t>
  </si>
  <si>
    <t>Wittgens Fernanda</t>
  </si>
  <si>
    <t>Rotondi Pasquale</t>
  </si>
  <si>
    <t>Bovio Marconi Jole</t>
  </si>
  <si>
    <t>Gabrielli Noemi</t>
  </si>
  <si>
    <t>Papini Roberto</t>
  </si>
  <si>
    <t>Monelli Paolo</t>
  </si>
  <si>
    <t>Argan Giulio Carlo</t>
  </si>
  <si>
    <t xml:space="preserve">Bertini Calosso Achille </t>
  </si>
  <si>
    <t>Moschini Vittorio</t>
  </si>
  <si>
    <t>Pacchioni Guglielmo</t>
  </si>
  <si>
    <t>Bernardini Rotondi Zea</t>
  </si>
  <si>
    <t>Guiotto Mario</t>
  </si>
  <si>
    <t>Aru Carlo</t>
  </si>
  <si>
    <t>Brizio Anna Maria</t>
  </si>
  <si>
    <t>Moderna-PA_org; Galleria-PA_org; Etnografico-PA_org; SantIgnazio_org; Archeologico-PA_org</t>
  </si>
  <si>
    <t>Moderna-PA_org; Galleria-PA_org; Etnografico-PA_org; SantIgnazio_org; Archeologico-PA_org; SanMartino_org; DG-Arti_org; Min-Ed_org; Soprintendenza-Sicilia-antichità_org; Soprintendenza-Sicilia-monumenti_org</t>
  </si>
  <si>
    <t>PA_loc; TP_loc; AG_loc; CL_loc; MON_loc; Soprintendenza-Sicilia-antichità_loc; Soprintendenza-Sicilia-monumenti_loc; Archeologico-PA_loc; SanMartino_loc; SantIgnazio_loc; Etnografico-PA_loc; Galleria-PA_loc; Moderna-PA_loc</t>
  </si>
  <si>
    <t>C-Settime_org; C-Monta_org; C-Guiglia_org; Borromeo_org</t>
  </si>
  <si>
    <t>Arch-Soprintendenza-TO_org; Soprintendenza-Piemonte-Liguria_org</t>
  </si>
  <si>
    <t>Sabauda_org; C-Settime_org; C-Monta_org; C-Guiglia_org; Borromeo_org; Arch-Soprintendenza-TO_org; Soprintendenza-Piemonte-Liguria_org</t>
  </si>
  <si>
    <t>TO_loc; Settime_loc; Monta_loc; Guiglia_loc; Stresa_loc; Soprintendenza-Piemonte-Liguria_loc; C-Settime_loc; C-Monta_loc; Sabauda_loc; C-Guiglia_loc; Borromeo_loc</t>
  </si>
  <si>
    <t>TO-trasferimento-Castelli_ev; Castelli-trasferimento-Guiglia_ev; Guiglia-trasferimento-Borromeo_ev</t>
  </si>
  <si>
    <t>JBM-soprintendente-Sicilia_ev; JBM-estensione-incarico_ev; ordine-Min-Ed_ev; Archeologico-PA-trasferimento-SanMartino_ev; Soprintendenza-Sicilia-Archeologico_ev; bombardamento-Archeologico_ev; sbarcoAlleati_ev; ricostruzione-Archeologico_ev; inaugurazione-Archeologico_ev</t>
  </si>
  <si>
    <t>C-Guiglia_org; Borromeo_org; C-Settime_org; C-Monta_org</t>
  </si>
  <si>
    <t>Settime_loc; Monta_loc; Guiglia_loc; Stresa_loc; Soprintendenza-Piemonte-Liguria_loc; C-Settime_loc; C-Monta_loc; Sabauda_loc; C-Guiglia_loc; Borromeo_loc</t>
  </si>
  <si>
    <t>Prefettura_org; Soprintendenza-MI_org; SV_org; ComandoAlleato_org; Min-Ed_org; DG-Arti_org</t>
  </si>
  <si>
    <t>ACS_org; Min-Ed_org; DG-Arti_org</t>
  </si>
  <si>
    <t>PFC_org; CSA_org; GNAM_org; GNAM-arch_org; ACS_org; Min-Ed_org; DG-Arti_org</t>
  </si>
  <si>
    <t>Soprintendenza-MAR_org; Min-Ed_org; DG-Arti_org; ComandoMilitareGermanico_org</t>
  </si>
  <si>
    <t>Soprintendenza-Sicilia-antichità_org; Soprintendenza-Sicilia-monumenti_org; Archeologico-PA_org; SanMartino_org; SantIgnazio_org; Etnografico-PA_org; Galleria-PA_org; Moderna-PA_org; Min-Ed_org; DG-Arti_org</t>
  </si>
  <si>
    <t>Arch-Soprintendenza-TO_org; Soprintendenza-Piemonte-Liguria_org; Min-Ed_org; DG-Arti_org</t>
  </si>
  <si>
    <t>Arch-Soprintendenza-TO_org; Soprintendenza-Piemonte-Liguria_org; C-Settime_org; C-Monta_org; Sabauda_org; C-Guiglia_org; Borromeo_org; Min-Ed_org; DG-Arti_org</t>
  </si>
  <si>
    <t>C-Guiglia_org; VA_org; VP_org; C-Torrechiara_org</t>
  </si>
  <si>
    <t>Direzione-RG-PR_org; Soprintendenza-PR-PC_org; Soprintendenza-MO-RE_org; Min-Ed_org; DG-Arti_org</t>
  </si>
  <si>
    <t>AOQ-direzione-RG-PR_ev</t>
  </si>
  <si>
    <t>AOQ-soprintendente-PR-PC_ev</t>
  </si>
  <si>
    <t>AOQ-direttore-MA-PR_ev</t>
  </si>
  <si>
    <t>MA-PR_org</t>
  </si>
  <si>
    <t>Museo Archeologico</t>
  </si>
  <si>
    <t>Pilotta_org; Ricci_org</t>
  </si>
  <si>
    <t>Pilotta_org; MC-PF_org</t>
  </si>
  <si>
    <t>PR_loc; MA-PR_loc</t>
  </si>
  <si>
    <t>Pilotta_org; MC-PF_org; Ricci_org; C-Guiglia_org; VA_org; VP_org; C-Torrechiara_org; Direzione-RG-PR_org; Soprintendenza-PR-PC_org; Soprintendenza-MO-RE_org; Min-Ed_org; DG-Arti_org; MA-PR_org</t>
  </si>
  <si>
    <t>Pilotta_org; MC-PF_org; Ricci_org; MA-PR_org</t>
  </si>
  <si>
    <t>AOQ-soprintendente-MO-RE_ev</t>
  </si>
  <si>
    <t>Min-Ed-ordine-PC_ev</t>
  </si>
  <si>
    <t>VA-trasferimento-C-Torrechiara_ev</t>
  </si>
  <si>
    <t>C-Torrechiara-occultamento_ev</t>
  </si>
  <si>
    <t>sopralluoghi-tedeschi_ev</t>
  </si>
  <si>
    <t>Min-Ed-ordine-Borromeo_ev</t>
  </si>
  <si>
    <t>C-Torrechiara-aperta_ev</t>
  </si>
  <si>
    <t>liberazione-PR_ev</t>
  </si>
  <si>
    <t>Parma viene liberata.</t>
  </si>
  <si>
    <t>AOQ-direzione-RG-PR_ev; AOQ-soprintendente-PR-PC_ev; AOQ-direttore-MA-PR_ev; AOQ-soprintendente-MO-RE_ev; Min-Ed-ordine-PC_ev; VA-trasferimento-C-Torrechiara_ev; C-Torrechiara-occultamento_ev; sopralluoghi-tedeschi_ev; Min-Ed-ordine-Borromeo_ev; C-Torrechiara-aperta_ev; liberazione-PR_ev</t>
  </si>
  <si>
    <t>soprintendenza; direzione-museale; guerra; logistica; tutela; rifugio; occultamento; occupazione-tedesca</t>
  </si>
  <si>
    <t>Soprintendenza-MI_org; Min-Ed_org; DG-Arti_org</t>
  </si>
  <si>
    <t>PB_org; Soprintendenza-MI_org; Min-Ed_org; DG-Arti_org</t>
  </si>
  <si>
    <t>MI_loc; PB_loc; Soprintendenza-MI_loc</t>
  </si>
  <si>
    <t>Rocca_org; PPC_org</t>
  </si>
  <si>
    <t>GA-VE_org; Rocca_org; PPC_org</t>
  </si>
  <si>
    <t>Min-Ed-RM_loc; Min-Ed-PD_loc; DG-Arti-RM_loc; DG-Arti-PD_loc; RM_loc; PD_loc</t>
  </si>
  <si>
    <t>DG-Arti-PD_loc; Min-Ed-PD_loc; PD_loc</t>
  </si>
  <si>
    <t>Soprintendenza-MI_loc; Min-Ed-RM_loc; Min-Ed-PD_loc; DG-Arti-RM_loc; DG-Arti-PD_loc</t>
  </si>
  <si>
    <t>http://viaf.org/viaf/130252198</t>
  </si>
  <si>
    <t>https://nominatim.openstreetmap.org/ui/details.html?osmtype=W&amp;osmid=651830217&amp;class=tourism</t>
  </si>
  <si>
    <t>44.804505</t>
  </si>
  <si>
    <t>10.325602</t>
  </si>
  <si>
    <t>Quintavalle ottiene la nomina a direttore della Regia Galleria di Parma.</t>
  </si>
  <si>
    <t>Nomina di Quintavalle a soprintendente</t>
  </si>
  <si>
    <t>Nomina di Quintavalle a direttore della Regia Galleria</t>
  </si>
  <si>
    <t>Quintavalle viene nominato Soprintendente per le opere d'arte medievali e moderne delle province di Parma e Piacenza.</t>
  </si>
  <si>
    <t>L'incarico di dirigenza viene esteso al Museo Archeologico Nazionale di Parma.</t>
  </si>
  <si>
    <t>Estensione dell'incarico di dirigenza</t>
  </si>
  <si>
    <t>Estensione dell'incarico di soprintendente</t>
  </si>
  <si>
    <t>L'incarico di dirigenza viene esteso alle province di Modena e Reggio.</t>
  </si>
  <si>
    <t>Ordine del Ministero di sgomberare Piacenza</t>
  </si>
  <si>
    <t>Villa Alberoni viene ceduta all'autorità militare</t>
  </si>
  <si>
    <t>Il Ministero ordina lo sgombero delle opere d'arte di Piacenza data la vicinanta al ponte sul Po, considerato obiettivo militare. Le opere vengono spedite a Villa Alberoni.</t>
  </si>
  <si>
    <t>Villa Alberoni viene ceduta all'autorità militare quindi le opere vengono spostate al Castello Torrechiara.</t>
  </si>
  <si>
    <t>Occultamento delle opere nel Castello di Torrechiara</t>
  </si>
  <si>
    <t>Le opere raccolte presso il Castello di Torrechiara vengono occultate nelle mura.</t>
  </si>
  <si>
    <t>L'operazione di occultamento va a buon fine e le opere sono in salvo dalle visite delle autorità tedesche.</t>
  </si>
  <si>
    <t>Sopralluoghi presso Torrechiara delle autorità tedesche</t>
  </si>
  <si>
    <t>Il Ministero ordina alle Soprintendenze di trasportare le opere conservate in rifugi verso le Isole Borromee.</t>
  </si>
  <si>
    <t>Quintavalle viene sollecitato a spostare le opere che conserva ma grazie alla mediazione del tenente tedesco Albert Junker, ottenne da parte del Comando germanico la dichiarazione di “zona aperta”.</t>
  </si>
  <si>
    <t>MA-PR_loc</t>
  </si>
  <si>
    <t>PA_loc; Galleria-PA_loc</t>
  </si>
  <si>
    <t>PA_loc; Moderna-PA_loc</t>
  </si>
  <si>
    <t>PD-URB_org; Rocca_org; PPC_org</t>
  </si>
  <si>
    <t>DG-Arti_org; Soprintendenza-MI_org; Soprintendenza-MAR_org; Soprintendenza-Sicilia-antichità_org; Soprintendenza-Sicilia-monumenti_org; Soprintendenza-Piemonte-Liguria_org; Soprintendenza-PR-PC_org; Soprintendenza-MO-RE_org</t>
  </si>
  <si>
    <t>Min-Ed_org; Soprintendenza-MAR_org; Soprintendenza-MI_org; Soprintendenza-Sicilia-antichità_org; Soprintendenza-Sicilia-monumenti_org; Soprintendenza-Piemonte-Liguria_org; Soprintendenza-PR-PC_org; Soprintendenza-MO-RE_org</t>
  </si>
  <si>
    <t>Ambrosiana_org</t>
  </si>
  <si>
    <t>Ambrosiana_loc</t>
  </si>
  <si>
    <t xml:space="preserve"> Ambrosiana_loc; MI_loc</t>
  </si>
  <si>
    <t>PB_org; MPP_org; Ambrosiana_org; OM_org; MTS_org; AC_org; PTM_org; ABAB_org</t>
  </si>
  <si>
    <t>CS_org; VMC_org; Cariplo_org; VIC_org; PPC_org; PB_org; MPP_org; Ambrosiana_org; OM_org; MTS_org; AC_org; PTM_org; ABAB_org; Prefettura_org; Soprintendenza-MI_org; SV_org; ComandoAlleato_org; Min-Ed_org; DG-Arti_org</t>
  </si>
  <si>
    <t>BG_loc; BS_loc; MF_loc; PG_loc; ORV_loc; CAR_loc; URB_loc; MI_loc; PB_loc; MPP_loc; Ambrosiana_loc; CS_loc; OM_loc; MTS_loc; AC_loc; PTM_loc; VMC_loc; Cariplo_loc; VIC_loc; PPC_loc; Prefettura_loc; SMG_loc; LG_loc; RSI_loc; Soprintendenza-MI_loc; SV_loc; ABAB_loc</t>
  </si>
  <si>
    <t>PB_org; MPP_org; Ambrosiana_org; CS_org; OM_org; MTS_org; AC_org; PTM_org</t>
  </si>
  <si>
    <t>RE_loc</t>
  </si>
  <si>
    <t>Reggio Emilia</t>
  </si>
  <si>
    <t>https://nominatim.openstreetmap.org/ui/details.html?osmtype=R&amp;osmid=42965&amp;class=boundary</t>
  </si>
  <si>
    <t>10.594066</t>
  </si>
  <si>
    <t>https://nominatim.openstreetmap.org/ui/details.html?osmtype=R&amp;osmid=42884&amp;class=boundary</t>
  </si>
  <si>
    <t>10.935960</t>
  </si>
  <si>
    <t>Palazzo della Pilotta (Soprintendenza alle Gallerie e alle Opere d'Arte medievali e Moderne per le province di Parma e Piacenza)</t>
  </si>
  <si>
    <t>Palazzo dei Musei (Soprintendenza alle Gallerie e alle Opere d'Arte medievali e Moderne per le province di Modena e Reggio Emilia)</t>
  </si>
  <si>
    <t>https://nominatim.openstreetmap.org/ui/details.html?osmtype=R&amp;osmid=1640895&amp;class=building</t>
  </si>
  <si>
    <t>44.648000</t>
  </si>
  <si>
    <t>10.920532</t>
  </si>
  <si>
    <t>Pilotta_loc; PR_loc</t>
  </si>
  <si>
    <t>PR_loc; PC_loc</t>
  </si>
  <si>
    <t>MA-PR_loc; PR_loc</t>
  </si>
  <si>
    <t>PC_loc; VA_loc; Veano_loc</t>
  </si>
  <si>
    <t>VA_loc; Veano_loc</t>
  </si>
  <si>
    <t>VA_loc; Veano_loc; C-Torrechiara_loc; TC_loc</t>
  </si>
  <si>
    <t>C-Torrechiara_loc; TC_loc</t>
  </si>
  <si>
    <t>Borromeo_loc; Stresa_loc</t>
  </si>
  <si>
    <t>Organo periferico del Ministero dell'Educazione Nazionale responsabile della tutela dei monumenti della Sicilia occidentale, guidato da Mario Guiotto; collaborò con la Soprintendenza alle Antichità nella messa in salvo del patrimonio artistico durante la guerra.</t>
  </si>
  <si>
    <t>Chiesa palermitana adiacente al Museo Archeologico, danneggiata dal bombardamento del 5 aprile 1943 che colpì anche il lato meridionale del cortile del museo.</t>
  </si>
  <si>
    <t>Galleria d'arte moderna di Palermo, il cui patrimonio fu messo in salvo insieme alle altre collezioni palermitane sotto la direzione della Soprintendenza durante la guerra.</t>
  </si>
  <si>
    <t>Castello nei pressi di Asti, utilizzato dal 1940 come primo rifugio per le opere della Galleria Sabauda di Torino, insieme al Castello di Montà d'Alba.</t>
  </si>
  <si>
    <t>Castello nelle Langhe, utilizzato insieme al Castello di Settime come rifugio per le opere della Galleria Sabauda a partire dal 1940.</t>
  </si>
  <si>
    <t>Pinacoteca di Torino la cui collezione fu evacuata nei castelli di Settime e Montà d'Alba e, dopo l'armistizio, trasferita al Castello di Guiglia e infine a Palazzo Borromeo.</t>
  </si>
  <si>
    <t>Castello sull'Appennino modenese, utilizzato dal giugno 1940 come rifugio per le opere della Galleria Sabauda, trasferite qui dai castelli di Settime e Montà d'Alba.</t>
  </si>
  <si>
    <t>Residenza sull'Isola Bella nel Lago Maggiore, utilizzata dal 1944 come ultimo rifugio per le opere della Galleria Sabauda dopo lo spostamento dal Castello di Guiglia.</t>
  </si>
  <si>
    <t>Direzione della Regia Galleria di Parma, affidata ad Armando Ottaviano Quintavalle a partire dal 1937.</t>
  </si>
  <si>
    <t>Organo periferico del Ministero dell'Educazione Nazionale responsabile della tutela del patrimonio nelle province di Parma e Piacenza, diretto da Armando Ottaviano Quintavalle a partire dal 1939.</t>
  </si>
  <si>
    <t>Organo periferico del Ministero dell'Educazione Nazionale responsabile della tutela del patrimonio nelle province di Modena e Reggio Emilia, incarico affidato a Quintavalle tra il 1940 e il 1942.</t>
  </si>
  <si>
    <t>Complesso monumentale di Parma che ospita la Galleria Nazionale, il Museo Archeologico e la Biblioteca Palatina; sede della direzione di Armando Ottaviano Quintavalle durante la guerra.</t>
  </si>
  <si>
    <t>Villa nei pressi di Gaione (PR), individuata come rifugio per il patrimonio artistico parmense sotto la direzione di Armando Ottaviano Quintavalle durante la seconda guerra mondiale.</t>
  </si>
  <si>
    <t>Museo ospitato nel Palazzo Farnese di Piacenza, il cui patrimonio fu messo in salvo insieme alle altre collezioni piacentine sotto la direzione di Armando Ottaviano Quintavalle.</t>
  </si>
  <si>
    <t>Galleria d'arte moderna di Piacenza, fondata dal collezionista Giuseppe Ricci Oddi e inaugurata nel 1931; le sue opere furono protette durante la guerra sotto la sorveglianza della Soprintendenza di Parma e Piacenza.</t>
  </si>
  <si>
    <t>Museo Archeologico ospitato nel Complesso della Pilotta a Parma, il cui incarico di dirigenza fu affidato ad Armando Ottaviano Quintavalle a partire dal 1934.</t>
  </si>
  <si>
    <t>Organo periferico del Ministero dell'Educazione Nazionale responsabile della tutela dei beni archeologici nelle province di Palermo, Trapani, Agrigento e Caltanissetta. Diretta da Jole Bovio Marconi dal 1939, coordinò il trasferimento delle opere del Museo Nazionale alla Basilica di San Martino delle Scale per proteggerle dai bombardamenti.</t>
  </si>
  <si>
    <t>Albert</t>
  </si>
  <si>
    <t>Junker</t>
  </si>
  <si>
    <t>AJ</t>
  </si>
  <si>
    <t>Tenente tedesco</t>
  </si>
  <si>
    <t>Tenente tedesco che collaborò con Quintavalle nella protezione di Torrechiara</t>
  </si>
  <si>
    <t>NG; CA; AMB; AJ</t>
  </si>
  <si>
    <t>Junker Albert</t>
  </si>
  <si>
    <t>Già Museo Nazionale di Palermo, custodisce la più importante collezione archeologica della Sicilia. Le sue opere furono trasferite tra il 1940 e il 1943 nella Basilica abbaziale di San Martino delle Scale per sottrarle ai bombardamenti. Il museo, danneggiato nel 1943, fu ricostruito tra il 1945 e il 1952 e riaperto col nome di Museo Archeologico Regionale "Antonio Salinas".</t>
  </si>
  <si>
    <t>Complesso monastico benedettino di Monreale, utilizzato dal luglio 1940 come rifugio per le opere del Museo Nazionale di Palermo.</t>
  </si>
  <si>
    <t>Museo etnografico di Palermo, fondato sulla raccolta di Giuseppe Pitrè. Il suo patrimonio venne messo in salvo insieme alle altre collezioni palermitane sotto la direzione della Soprintendenza durante la guerra.</t>
  </si>
  <si>
    <t>Galleria ospitata a Palazzo Abatellis, sede della raccolta d'arte medievale e moderna siciliana. Le opere furono protette durante la guerra dalla Soprintendenza alle Antichità della Sicilia occidentale.</t>
  </si>
  <si>
    <t>Archivio della Soprintendenza all'Arte Medievale e Moderna del Piemonte e della Liguria, che conserva la documentazione amministrativa relativa alle operazioni di salvataggio delle opere durante la guerra.</t>
  </si>
  <si>
    <t>Organo periferico del Ministero dell'Educazione Nazionale responsabile della tutela del patrimonio in Piemonte e Liguria, diretto da Carlo Aru in collaborazione con l'ispettrice Noemi Gabrielli e la direttrice della Galleria Sabauda Anna Maria Brizio. Coordinò il trasferimento delle opere della Galleria Sabauda nei rifugi sicuri.</t>
  </si>
  <si>
    <t>Villa nei pressi di Veano (PC), utilizzata come rifugio per le opere d'arte piacentine, sgomberate per la vicinanza al ponte sul Po considerato obiettivo militare; ceduta poi alle autorità militari nel settembre 1940.</t>
  </si>
  <si>
    <t>Castello medievale nei pressi di Parma, utilizzato dal settembre 1940 come rifugio per le opere provenienti da Villa Alberoni; nel settembre 1943 Quintavalle vi occultò le opere murandole nei sotterranei per sottrarle ai sopralluoghi delle autorità tedesche.</t>
  </si>
  <si>
    <t>MOD_loc</t>
  </si>
  <si>
    <t>Soprintendenza-PR-PC_loc</t>
  </si>
  <si>
    <t>Soprintendenza-MO-RE_loc</t>
  </si>
  <si>
    <t>PR_loc; PC_loc; Veano_loc; Gaione_loc; TC_loc; Pilotta_loc; VA_loc; VP_loc; C-Torrechiara_loc; MC-PF_loc; Ricci_loc; Guiglia_loc; C-Guiglia_loc; MA-PR_loc; RE_loc; Mod_loc; Soprintendenza-PR-PC_loc; Soprintendenza-MO-RE_loc</t>
  </si>
  <si>
    <t>44.538472</t>
  </si>
  <si>
    <t>44.608667</t>
  </si>
  <si>
    <t>PR_loc; Soprintendenza-PR-PC_loc</t>
  </si>
  <si>
    <t>MO_loc; Soprintendenza-MO-RE_loc</t>
  </si>
  <si>
    <t>Palazzo Carignano (Soprintendenza all'Arte Medievale e Moderna del Piemonte e della Liguria)</t>
  </si>
  <si>
    <t>Organo centrale del Ministero dell'Educazione Nazionale deputato alla tutela del patrimonio artistico nazionale.</t>
  </si>
  <si>
    <t>Sede del Ministero dell'Educazione Nazionale e della Direzione Generale delle Arti. Il Ministero dell'Educazione Nazionale è stato istituito nel 1929 in epoca fascista, ha sostituito il Ministero della Pubblica Istruzione ed è stato soppresso nel 1944. La Direzione Generale delle Arti è stato un organo centrale del Ministero dell'Educazione Nazionale deputato alla tutela del patrimonio artistico nazionale.</t>
  </si>
  <si>
    <t>Sede del Ministero dell'Educazione Nazionale e della Direzione Generale delle Arti che, in seguito all'armistizio del 1943, è stata spostata da Roma a Padova.</t>
  </si>
  <si>
    <t>Organo centrale del Ministero dell'Educazione Nazionale, la cui sede fu spostata in seguito all'armistizio da Roma a Padova.</t>
  </si>
  <si>
    <t>Palazzo della Pubblica Istruzione</t>
  </si>
  <si>
    <t>Palazzo del Bo</t>
  </si>
  <si>
    <t>Rocca_org; PPC_org; VT_org; Cattedrale-URB_org; PD-URB_org; GA-VE_org; GF_org; MO_org; GB_org; Corsini_org; Gaulino_org; Biblio-Oliveriana_org; Museo-Oliveriano_org; Soprintendenza-MAR_org; Min-Ed_org; DG-Arti_org; ComandoMilitareGermanico_org; CS_org; PB_org; MPP_org; Ambrosiana_org; OM_org; MTS_org; AC_org; PTM_org</t>
  </si>
  <si>
    <t>Bom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</si>
</sst>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Aptos Narrow"/>
      <family val="2"/>
      <scheme val="minor"/>
    </font>
    <font>
      <u/>
      <sz val="11"/>
      <color theme="10"/>
      <name val="Aptos Narrow"/>
      <family val="2"/>
      <scheme val="minor"/>
    </font>
    <font>
      <b/>
      <sz val="14"/>
      <color theme="1"/>
      <name val="Aptos Narrow"/>
      <family val="2"/>
      <scheme val="minor"/>
    </font>
    <font>
      <sz val="14"/>
      <color theme="1"/>
      <name val="Aptos Narrow"/>
      <family val="2"/>
      <scheme val="minor"/>
    </font>
    <font>
      <u/>
      <sz val="14"/>
      <color theme="10"/>
      <name val="Aptos Narrow"/>
      <family val="2"/>
      <scheme val="minor"/>
    </font>
    <font>
      <sz val="14"/>
      <name val="Aptos Narrow"/>
      <family val="2"/>
      <scheme val="minor"/>
    </font>
    <font>
      <sz val="14"/>
      <color rgb="FF0A0A0A"/>
      <name val="Aptos Narrow"/>
      <family val="2"/>
      <scheme val="minor"/>
    </font>
    <font>
      <b/>
      <sz val="14"/>
      <name val="Aptos Narrow"/>
      <family val="2"/>
      <scheme val="minor"/>
    </font>
    <font>
      <sz val="14"/>
      <color rgb="FF000000"/>
      <name val="Aptos Narrow"/>
      <family val="2"/>
      <scheme val="minor"/>
    </font>
    <font>
      <sz val="12"/>
      <name val="Aptos Narrow"/>
      <family val="2"/>
      <scheme val="minor"/>
    </font>
    <font>
      <u/>
      <sz val="14"/>
      <color theme="1"/>
      <name val="Aptos Narrow"/>
      <family val="2"/>
      <scheme val="minor"/>
    </font>
    <font>
      <sz val="8"/>
      <name val="Aptos Narrow"/>
      <family val="2"/>
      <scheme val="minor"/>
    </font>
    <font>
      <sz val="14"/>
      <color theme="1"/>
      <name val="Aptos Narrow"/>
      <family val="2"/>
      <charset val="1"/>
    </font>
  </fonts>
  <fills count="6">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1"/>
        <bgColor indexed="64"/>
      </patternFill>
    </fill>
    <fill>
      <patternFill patternType="solid">
        <fgColor theme="1"/>
        <bgColor rgb="FF0A0A0A"/>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indexed="64"/>
      </left>
      <right/>
      <top/>
      <bottom/>
      <diagonal/>
    </border>
    <border>
      <left style="thin">
        <color auto="1"/>
      </left>
      <right/>
      <top/>
      <bottom style="thin">
        <color auto="1"/>
      </bottom>
      <diagonal/>
    </border>
    <border>
      <left style="thin">
        <color auto="1"/>
      </left>
      <right/>
      <top style="thin">
        <color indexed="64"/>
      </top>
      <bottom/>
      <diagonal/>
    </border>
    <border>
      <left/>
      <right/>
      <top style="thin">
        <color indexed="64"/>
      </top>
      <bottom/>
      <diagonal/>
    </border>
    <border>
      <left style="thin">
        <color auto="1"/>
      </left>
      <right style="thin">
        <color auto="1"/>
      </right>
      <top/>
      <bottom/>
      <diagonal/>
    </border>
  </borders>
  <cellStyleXfs count="2">
    <xf numFmtId="0" fontId="0" fillId="0" borderId="0"/>
    <xf numFmtId="0" fontId="1" fillId="0" borderId="0" applyNumberFormat="0" applyFill="0" applyBorder="0" applyAlignment="0" applyProtection="0"/>
  </cellStyleXfs>
  <cellXfs count="132">
    <xf numFmtId="0" fontId="0" fillId="0" borderId="0" xfId="0"/>
    <xf numFmtId="0" fontId="0" fillId="0" borderId="0" xfId="0" applyProtection="1">
      <protection locked="0"/>
    </xf>
    <xf numFmtId="0" fontId="2" fillId="2" borderId="1" xfId="0" applyFont="1" applyFill="1" applyBorder="1" applyAlignment="1" applyProtection="1">
      <alignment vertical="center"/>
      <protection locked="0"/>
    </xf>
    <xf numFmtId="0" fontId="3" fillId="0" borderId="1" xfId="0" applyFont="1" applyBorder="1" applyAlignment="1">
      <alignment vertical="center"/>
    </xf>
    <xf numFmtId="0" fontId="5" fillId="0" borderId="1" xfId="0" applyFont="1" applyBorder="1" applyAlignment="1">
      <alignment vertical="center"/>
    </xf>
    <xf numFmtId="0" fontId="3" fillId="0" borderId="1" xfId="0" applyFont="1" applyBorder="1" applyAlignment="1">
      <alignment vertical="center" wrapText="1"/>
    </xf>
    <xf numFmtId="0" fontId="5" fillId="0" borderId="1" xfId="1" applyFont="1" applyBorder="1" applyAlignment="1">
      <alignment vertical="center"/>
    </xf>
    <xf numFmtId="0" fontId="3" fillId="3" borderId="1" xfId="0" applyFont="1" applyFill="1" applyBorder="1" applyAlignment="1">
      <alignment vertical="center" wrapText="1"/>
    </xf>
    <xf numFmtId="0" fontId="4" fillId="0" borderId="1" xfId="1" applyFont="1" applyBorder="1" applyAlignment="1">
      <alignment vertical="center" wrapText="1"/>
    </xf>
    <xf numFmtId="0" fontId="2" fillId="2" borderId="1" xfId="0" applyFont="1" applyFill="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0" fontId="7" fillId="2" borderId="1" xfId="0" applyFont="1" applyFill="1" applyBorder="1" applyAlignment="1">
      <alignment vertical="center" wrapText="1"/>
    </xf>
    <xf numFmtId="0" fontId="1" fillId="0" borderId="1" xfId="1" applyBorder="1" applyAlignment="1">
      <alignment vertical="center" wrapText="1"/>
    </xf>
    <xf numFmtId="0" fontId="3" fillId="0" borderId="2" xfId="0" applyFont="1" applyBorder="1" applyAlignment="1">
      <alignment vertical="center" wrapText="1"/>
    </xf>
    <xf numFmtId="0" fontId="6" fillId="0" borderId="2" xfId="0" applyFont="1" applyBorder="1" applyAlignment="1">
      <alignment vertical="center" wrapText="1"/>
    </xf>
    <xf numFmtId="49" fontId="2" fillId="2" borderId="1" xfId="0" applyNumberFormat="1" applyFont="1" applyFill="1" applyBorder="1" applyAlignment="1">
      <alignment vertical="center" wrapText="1"/>
    </xf>
    <xf numFmtId="49" fontId="3" fillId="0" borderId="1" xfId="0" applyNumberFormat="1" applyFont="1" applyBorder="1" applyAlignment="1">
      <alignment vertical="center" wrapText="1"/>
    </xf>
    <xf numFmtId="49" fontId="3" fillId="0" borderId="0" xfId="0" applyNumberFormat="1" applyFont="1" applyAlignment="1">
      <alignment vertical="center" wrapText="1"/>
    </xf>
    <xf numFmtId="0" fontId="3" fillId="3" borderId="0" xfId="0" applyFont="1" applyFill="1" applyAlignment="1">
      <alignment vertical="center" wrapText="1"/>
    </xf>
    <xf numFmtId="164" fontId="2" fillId="2" borderId="1" xfId="0" applyNumberFormat="1" applyFont="1" applyFill="1" applyBorder="1" applyAlignment="1">
      <alignment vertical="center" wrapText="1"/>
    </xf>
    <xf numFmtId="164" fontId="3" fillId="0" borderId="1" xfId="0" applyNumberFormat="1" applyFont="1" applyBorder="1" applyAlignment="1">
      <alignment vertical="center" wrapText="1"/>
    </xf>
    <xf numFmtId="164" fontId="3" fillId="0" borderId="0" xfId="0" applyNumberFormat="1" applyFont="1" applyAlignment="1">
      <alignment vertical="center" wrapText="1"/>
    </xf>
    <xf numFmtId="0" fontId="3" fillId="0" borderId="3" xfId="0" applyFont="1" applyBorder="1" applyAlignment="1">
      <alignment vertical="center" wrapText="1"/>
    </xf>
    <xf numFmtId="49" fontId="3" fillId="0" borderId="3" xfId="0" applyNumberFormat="1" applyFont="1" applyBorder="1" applyAlignment="1">
      <alignment vertical="center" wrapText="1"/>
    </xf>
    <xf numFmtId="0" fontId="3" fillId="0" borderId="4" xfId="0" applyFont="1" applyBorder="1" applyAlignment="1">
      <alignment vertical="center" wrapText="1"/>
    </xf>
    <xf numFmtId="49" fontId="3" fillId="0" borderId="4" xfId="0" applyNumberFormat="1" applyFont="1" applyBorder="1" applyAlignment="1">
      <alignment vertical="center" wrapText="1"/>
    </xf>
    <xf numFmtId="49" fontId="2" fillId="2" borderId="1" xfId="0" applyNumberFormat="1" applyFont="1" applyFill="1" applyBorder="1" applyAlignment="1" applyProtection="1">
      <alignment vertical="center" wrapText="1"/>
      <protection locked="0"/>
    </xf>
    <xf numFmtId="49" fontId="4" fillId="0" borderId="1" xfId="1" applyNumberFormat="1" applyFont="1" applyBorder="1" applyAlignment="1">
      <alignment vertical="center" wrapText="1"/>
    </xf>
    <xf numFmtId="49" fontId="0" fillId="0" borderId="0" xfId="0" applyNumberFormat="1" applyAlignment="1">
      <alignment wrapText="1"/>
    </xf>
    <xf numFmtId="49" fontId="1" fillId="0" borderId="1" xfId="1" applyNumberFormat="1" applyBorder="1" applyAlignment="1">
      <alignment vertical="center" wrapText="1"/>
    </xf>
    <xf numFmtId="49" fontId="1" fillId="0" borderId="1" xfId="1" applyNumberFormat="1" applyFill="1" applyBorder="1" applyAlignment="1">
      <alignment vertical="center" wrapText="1"/>
    </xf>
    <xf numFmtId="49" fontId="1" fillId="0" borderId="3" xfId="1" applyNumberFormat="1" applyBorder="1" applyAlignment="1">
      <alignment vertical="center" wrapText="1"/>
    </xf>
    <xf numFmtId="49" fontId="1" fillId="0" borderId="4" xfId="1" applyNumberFormat="1" applyBorder="1" applyAlignment="1">
      <alignment vertical="center" wrapText="1"/>
    </xf>
    <xf numFmtId="0" fontId="3" fillId="4" borderId="1" xfId="0" applyFont="1" applyFill="1" applyBorder="1" applyAlignment="1">
      <alignment vertical="center" wrapText="1"/>
    </xf>
    <xf numFmtId="0" fontId="1" fillId="4" borderId="1" xfId="1" applyFill="1" applyBorder="1" applyAlignment="1">
      <alignment vertical="center" wrapText="1"/>
    </xf>
    <xf numFmtId="0" fontId="0" fillId="4" borderId="0" xfId="0" applyFill="1"/>
    <xf numFmtId="0" fontId="3" fillId="4" borderId="1" xfId="0" applyFont="1" applyFill="1" applyBorder="1" applyAlignment="1">
      <alignment vertical="center"/>
    </xf>
    <xf numFmtId="49" fontId="4" fillId="4" borderId="1" xfId="1" applyNumberFormat="1" applyFont="1" applyFill="1" applyBorder="1" applyAlignment="1">
      <alignment vertical="center" wrapText="1"/>
    </xf>
    <xf numFmtId="0" fontId="3" fillId="4" borderId="2" xfId="0" applyFont="1" applyFill="1" applyBorder="1" applyAlignment="1">
      <alignment vertical="center" wrapText="1"/>
    </xf>
    <xf numFmtId="49" fontId="3" fillId="4" borderId="1" xfId="0" applyNumberFormat="1" applyFont="1" applyFill="1" applyBorder="1" applyAlignment="1">
      <alignment vertical="center" wrapText="1"/>
    </xf>
    <xf numFmtId="49" fontId="1" fillId="4" borderId="1" xfId="1" applyNumberFormat="1" applyFill="1" applyBorder="1" applyAlignment="1">
      <alignment vertical="center" wrapText="1"/>
    </xf>
    <xf numFmtId="164" fontId="3" fillId="4" borderId="1" xfId="0" applyNumberFormat="1" applyFont="1" applyFill="1" applyBorder="1" applyAlignment="1">
      <alignment vertical="center" wrapText="1"/>
    </xf>
    <xf numFmtId="0" fontId="1" fillId="3" borderId="1" xfId="1" applyFill="1" applyBorder="1" applyAlignment="1">
      <alignment vertical="center" wrapText="1"/>
    </xf>
    <xf numFmtId="164" fontId="3" fillId="0" borderId="1" xfId="0" applyNumberFormat="1" applyFont="1" applyBorder="1" applyAlignment="1">
      <alignment horizontal="right" vertical="center" wrapText="1"/>
    </xf>
    <xf numFmtId="49" fontId="3" fillId="3" borderId="1" xfId="0" applyNumberFormat="1" applyFont="1" applyFill="1" applyBorder="1" applyAlignment="1">
      <alignment vertical="center" wrapText="1"/>
    </xf>
    <xf numFmtId="0" fontId="5" fillId="4" borderId="1" xfId="0" applyFont="1" applyFill="1" applyBorder="1" applyAlignment="1">
      <alignment vertical="center"/>
    </xf>
    <xf numFmtId="0" fontId="3" fillId="4" borderId="1" xfId="0" applyFont="1" applyFill="1" applyBorder="1" applyAlignment="1">
      <alignment horizontal="left" vertical="center" wrapText="1"/>
    </xf>
    <xf numFmtId="0" fontId="0" fillId="0" borderId="1" xfId="0" applyBorder="1"/>
    <xf numFmtId="0" fontId="3" fillId="0" borderId="1" xfId="0" applyFont="1" applyBorder="1" applyAlignment="1">
      <alignment horizontal="left" vertical="center" wrapText="1"/>
    </xf>
    <xf numFmtId="0" fontId="3" fillId="4" borderId="0" xfId="0" applyFont="1" applyFill="1" applyAlignment="1">
      <alignment vertical="center" wrapText="1"/>
    </xf>
    <xf numFmtId="0" fontId="3" fillId="0" borderId="1" xfId="0" applyFont="1" applyBorder="1"/>
    <xf numFmtId="49" fontId="3" fillId="0" borderId="1" xfId="0" applyNumberFormat="1" applyFont="1" applyBorder="1" applyAlignment="1">
      <alignment vertical="center"/>
    </xf>
    <xf numFmtId="49" fontId="8" fillId="0" borderId="1" xfId="0" applyNumberFormat="1" applyFont="1" applyBorder="1" applyAlignment="1">
      <alignment vertical="center"/>
    </xf>
    <xf numFmtId="0" fontId="0" fillId="4" borderId="1" xfId="0" applyFill="1" applyBorder="1"/>
    <xf numFmtId="0" fontId="2" fillId="2" borderId="1" xfId="0" applyFont="1" applyFill="1" applyBorder="1"/>
    <xf numFmtId="0" fontId="3" fillId="0" borderId="2" xfId="0" applyFont="1" applyBorder="1"/>
    <xf numFmtId="0" fontId="3" fillId="0" borderId="1" xfId="0" applyFont="1" applyBorder="1" applyAlignment="1">
      <alignment wrapText="1"/>
    </xf>
    <xf numFmtId="0" fontId="3" fillId="0" borderId="5" xfId="0" applyFont="1" applyBorder="1" applyAlignment="1">
      <alignment vertical="center" wrapText="1"/>
    </xf>
    <xf numFmtId="49" fontId="3" fillId="0" borderId="2" xfId="0" applyNumberFormat="1" applyFont="1" applyBorder="1" applyAlignment="1">
      <alignment vertical="center" wrapText="1"/>
    </xf>
    <xf numFmtId="0" fontId="2" fillId="2" borderId="1" xfId="0" applyFont="1" applyFill="1" applyBorder="1" applyAlignment="1" applyProtection="1">
      <alignment vertical="center" wrapText="1"/>
      <protection locked="0"/>
    </xf>
    <xf numFmtId="0" fontId="2" fillId="2" borderId="0" xfId="0" applyFont="1" applyFill="1"/>
    <xf numFmtId="0" fontId="2" fillId="0" borderId="0" xfId="0" applyFont="1" applyAlignment="1" applyProtection="1">
      <alignment vertical="center"/>
      <protection locked="0"/>
    </xf>
    <xf numFmtId="0" fontId="3" fillId="0" borderId="0" xfId="0" applyFont="1" applyAlignment="1">
      <alignment vertical="center"/>
    </xf>
    <xf numFmtId="49" fontId="4" fillId="0" borderId="0" xfId="1" applyNumberFormat="1" applyFont="1" applyFill="1" applyBorder="1" applyAlignment="1">
      <alignment vertical="center" wrapText="1"/>
    </xf>
    <xf numFmtId="0" fontId="5" fillId="0" borderId="0" xfId="0" applyFont="1" applyAlignment="1">
      <alignment vertical="center"/>
    </xf>
    <xf numFmtId="49" fontId="1" fillId="0" borderId="0" xfId="1" applyNumberFormat="1" applyFill="1" applyBorder="1" applyAlignment="1">
      <alignment vertical="center" wrapText="1"/>
    </xf>
    <xf numFmtId="0" fontId="3" fillId="0" borderId="0" xfId="0" applyFont="1" applyAlignment="1">
      <alignment horizontal="left" vertical="center" wrapText="1"/>
    </xf>
    <xf numFmtId="0" fontId="5" fillId="0" borderId="0" xfId="1" applyFont="1" applyFill="1" applyBorder="1" applyAlignment="1">
      <alignment vertical="center"/>
    </xf>
    <xf numFmtId="0" fontId="5" fillId="0" borderId="0" xfId="1" applyFont="1" applyFill="1" applyBorder="1" applyAlignment="1">
      <alignment vertical="center" wrapText="1"/>
    </xf>
    <xf numFmtId="0" fontId="1" fillId="0" borderId="0" xfId="1" applyFill="1" applyBorder="1" applyAlignment="1">
      <alignment vertical="center" wrapText="1"/>
    </xf>
    <xf numFmtId="0" fontId="3" fillId="0" borderId="6" xfId="0" applyFont="1" applyBorder="1" applyAlignment="1">
      <alignment vertical="center" wrapText="1"/>
    </xf>
    <xf numFmtId="0" fontId="3" fillId="4" borderId="6" xfId="0" applyFont="1" applyFill="1" applyBorder="1" applyAlignment="1">
      <alignment vertical="center" wrapText="1"/>
    </xf>
    <xf numFmtId="0" fontId="4" fillId="0" borderId="1" xfId="1" applyFont="1" applyFill="1" applyBorder="1" applyAlignment="1">
      <alignment vertical="center" wrapText="1"/>
    </xf>
    <xf numFmtId="0" fontId="5" fillId="0" borderId="1" xfId="0" applyFont="1" applyBorder="1" applyAlignment="1">
      <alignment vertical="top" wrapText="1"/>
    </xf>
    <xf numFmtId="0" fontId="5" fillId="0" borderId="1" xfId="0" applyFont="1" applyBorder="1" applyAlignment="1">
      <alignment horizontal="right" vertical="center" wrapText="1"/>
    </xf>
    <xf numFmtId="0" fontId="3" fillId="4" borderId="4" xfId="0" applyFont="1" applyFill="1" applyBorder="1" applyAlignment="1">
      <alignment vertical="center" wrapText="1"/>
    </xf>
    <xf numFmtId="49" fontId="8" fillId="0" borderId="0" xfId="0" applyNumberFormat="1" applyFont="1" applyAlignment="1">
      <alignment vertical="center" wrapText="1"/>
    </xf>
    <xf numFmtId="0" fontId="5" fillId="4" borderId="4" xfId="0" applyFont="1" applyFill="1" applyBorder="1" applyAlignment="1">
      <alignment vertical="center" wrapText="1"/>
    </xf>
    <xf numFmtId="0" fontId="0" fillId="4" borderId="4" xfId="0" applyFill="1" applyBorder="1"/>
    <xf numFmtId="0" fontId="1" fillId="0" borderId="0" xfId="1" applyFill="1" applyBorder="1"/>
    <xf numFmtId="0" fontId="2" fillId="0" borderId="7" xfId="0" applyFont="1" applyBorder="1" applyAlignment="1" applyProtection="1">
      <alignment vertical="center"/>
      <protection locked="0"/>
    </xf>
    <xf numFmtId="0" fontId="2" fillId="2" borderId="6" xfId="0" applyFont="1" applyFill="1" applyBorder="1" applyAlignment="1">
      <alignment vertical="center" wrapText="1"/>
    </xf>
    <xf numFmtId="0" fontId="5" fillId="0" borderId="6" xfId="0" applyFont="1" applyBorder="1" applyAlignment="1">
      <alignment vertical="center" wrapText="1"/>
    </xf>
    <xf numFmtId="0" fontId="9" fillId="0" borderId="7" xfId="1" applyFont="1" applyFill="1" applyBorder="1" applyAlignment="1">
      <alignment vertical="center" wrapText="1"/>
    </xf>
    <xf numFmtId="0" fontId="1" fillId="0" borderId="7" xfId="1" applyFill="1" applyBorder="1" applyAlignment="1">
      <alignment vertical="center" wrapText="1"/>
    </xf>
    <xf numFmtId="0" fontId="3" fillId="0" borderId="7" xfId="0" applyFont="1" applyBorder="1" applyAlignment="1">
      <alignment vertical="center" wrapText="1"/>
    </xf>
    <xf numFmtId="0" fontId="1" fillId="0" borderId="1" xfId="1" applyBorder="1"/>
    <xf numFmtId="0" fontId="10" fillId="0" borderId="1" xfId="0" applyFont="1" applyBorder="1" applyAlignment="1">
      <alignment vertical="center" wrapText="1"/>
    </xf>
    <xf numFmtId="0" fontId="1" fillId="4" borderId="7" xfId="1" applyFill="1" applyBorder="1" applyAlignment="1">
      <alignment vertical="center" wrapText="1"/>
    </xf>
    <xf numFmtId="0" fontId="0" fillId="0" borderId="4" xfId="0" applyBorder="1"/>
    <xf numFmtId="0" fontId="3" fillId="0" borderId="0" xfId="0" applyFont="1" applyAlignment="1">
      <alignment wrapText="1"/>
    </xf>
    <xf numFmtId="49" fontId="3" fillId="4" borderId="0" xfId="0" applyNumberFormat="1" applyFont="1" applyFill="1" applyAlignment="1">
      <alignment vertical="center" wrapText="1"/>
    </xf>
    <xf numFmtId="49" fontId="1" fillId="4" borderId="0" xfId="1" applyNumberFormat="1" applyFill="1" applyBorder="1" applyAlignment="1">
      <alignment vertical="center" wrapText="1"/>
    </xf>
    <xf numFmtId="0" fontId="1" fillId="4" borderId="0" xfId="1" applyFill="1" applyBorder="1" applyAlignment="1">
      <alignment vertical="center" wrapText="1"/>
    </xf>
    <xf numFmtId="0" fontId="6" fillId="4" borderId="0" xfId="0" applyFont="1" applyFill="1" applyAlignment="1">
      <alignment vertical="center" wrapText="1"/>
    </xf>
    <xf numFmtId="0" fontId="3" fillId="0" borderId="8" xfId="0" applyFont="1" applyBorder="1" applyAlignment="1">
      <alignment vertical="center" wrapText="1"/>
    </xf>
    <xf numFmtId="49" fontId="3"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0" fontId="5" fillId="0" borderId="0" xfId="0" applyFont="1"/>
    <xf numFmtId="0" fontId="5" fillId="4" borderId="1" xfId="0" applyFont="1" applyFill="1" applyBorder="1" applyAlignment="1">
      <alignment vertical="center" wrapText="1"/>
    </xf>
    <xf numFmtId="0" fontId="3" fillId="0" borderId="0" xfId="0" applyFont="1"/>
    <xf numFmtId="0" fontId="5" fillId="0" borderId="1" xfId="0" applyFont="1" applyBorder="1"/>
    <xf numFmtId="49" fontId="4" fillId="0" borderId="1" xfId="1" applyNumberFormat="1" applyFont="1" applyBorder="1" applyAlignment="1">
      <alignment wrapText="1"/>
    </xf>
    <xf numFmtId="0" fontId="5" fillId="0" borderId="1" xfId="0" applyFont="1" applyBorder="1" applyAlignment="1">
      <alignment wrapText="1"/>
    </xf>
    <xf numFmtId="49" fontId="3"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3" fillId="4" borderId="4" xfId="0" applyFont="1" applyFill="1" applyBorder="1" applyAlignment="1">
      <alignment vertical="center"/>
    </xf>
    <xf numFmtId="49" fontId="3" fillId="4" borderId="4" xfId="0" applyNumberFormat="1" applyFont="1" applyFill="1" applyBorder="1" applyAlignment="1">
      <alignment vertical="center" wrapText="1"/>
    </xf>
    <xf numFmtId="0" fontId="5" fillId="4" borderId="4" xfId="0" applyFont="1" applyFill="1" applyBorder="1" applyAlignment="1">
      <alignment vertical="center"/>
    </xf>
    <xf numFmtId="0" fontId="3" fillId="0" borderId="1" xfId="0" applyFont="1" applyBorder="1" applyAlignment="1" applyProtection="1">
      <alignment vertical="center"/>
      <protection locked="0"/>
    </xf>
    <xf numFmtId="49" fontId="4" fillId="0" borderId="1" xfId="1" applyNumberFormat="1" applyFont="1" applyBorder="1" applyAlignment="1" applyProtection="1">
      <alignment vertical="center" wrapText="1"/>
      <protection locked="0"/>
    </xf>
    <xf numFmtId="0" fontId="3" fillId="0" borderId="1" xfId="0" applyFont="1" applyBorder="1" applyAlignment="1" applyProtection="1">
      <alignment vertical="center" wrapText="1"/>
      <protection locked="0"/>
    </xf>
    <xf numFmtId="0" fontId="5" fillId="0" borderId="3" xfId="0" applyFont="1" applyBorder="1" applyAlignment="1">
      <alignment vertical="center" wrapText="1"/>
    </xf>
    <xf numFmtId="0" fontId="3" fillId="0" borderId="9" xfId="0" applyFont="1" applyBorder="1" applyAlignment="1">
      <alignment vertical="center" wrapText="1"/>
    </xf>
    <xf numFmtId="0" fontId="0" fillId="0" borderId="3" xfId="0" applyBorder="1"/>
    <xf numFmtId="0" fontId="3" fillId="0" borderId="10" xfId="0" applyFont="1" applyBorder="1" applyAlignment="1">
      <alignment vertical="center" wrapText="1"/>
    </xf>
    <xf numFmtId="0" fontId="5" fillId="0" borderId="10" xfId="0" applyFont="1" applyBorder="1" applyAlignment="1">
      <alignment vertical="center" wrapText="1"/>
    </xf>
    <xf numFmtId="0" fontId="0" fillId="0" borderId="10" xfId="0" applyBorder="1"/>
    <xf numFmtId="0" fontId="1" fillId="0" borderId="3" xfId="1" applyBorder="1" applyAlignment="1">
      <alignment vertical="center" wrapText="1"/>
    </xf>
    <xf numFmtId="0" fontId="12" fillId="0" borderId="1" xfId="0" applyFont="1" applyBorder="1" applyAlignment="1">
      <alignment vertical="center" wrapText="1"/>
    </xf>
    <xf numFmtId="0" fontId="12" fillId="0" borderId="0" xfId="0" applyFont="1" applyAlignment="1">
      <alignment vertical="center" wrapText="1"/>
    </xf>
    <xf numFmtId="0" fontId="12" fillId="0" borderId="4" xfId="0" applyFont="1" applyBorder="1" applyAlignment="1">
      <alignment vertical="center" wrapText="1"/>
    </xf>
    <xf numFmtId="0" fontId="12" fillId="5" borderId="1" xfId="0" applyFont="1" applyFill="1" applyBorder="1" applyAlignment="1">
      <alignment vertical="center" wrapText="1"/>
    </xf>
    <xf numFmtId="0" fontId="12" fillId="0" borderId="3" xfId="0" applyFont="1" applyBorder="1" applyAlignment="1">
      <alignment vertical="center" wrapText="1"/>
    </xf>
    <xf numFmtId="0" fontId="3" fillId="0" borderId="4" xfId="0" applyFont="1" applyBorder="1" applyAlignment="1" applyProtection="1">
      <alignment vertical="center"/>
      <protection locked="0"/>
    </xf>
    <xf numFmtId="49" fontId="4" fillId="0" borderId="4" xfId="1" applyNumberFormat="1" applyFont="1" applyBorder="1" applyAlignment="1" applyProtection="1">
      <alignment vertical="center" wrapText="1"/>
      <protection locked="0"/>
    </xf>
    <xf numFmtId="0" fontId="3" fillId="0" borderId="4" xfId="0" applyFont="1" applyBorder="1" applyAlignment="1" applyProtection="1">
      <alignment vertical="center" wrapText="1"/>
      <protection locked="0"/>
    </xf>
    <xf numFmtId="0" fontId="3" fillId="0" borderId="4" xfId="0" applyFont="1" applyBorder="1" applyAlignment="1">
      <alignment wrapText="1"/>
    </xf>
    <xf numFmtId="0" fontId="3" fillId="0" borderId="11" xfId="0" applyFont="1" applyBorder="1" applyAlignment="1">
      <alignment vertical="center"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7DC3CD7-80C4-4483-A6B2-B29D4FEFF5C0}">
  <we:reference id="wa104380263" version="3.0.0.0" store="it-IT" storeType="OMEX"/>
  <we:alternateReferences>
    <we:reference id="WA104380263" version="3.0.0.0" store="WA104380263"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viaf.org/viaf/98064553" TargetMode="External"/><Relationship Id="rId13" Type="http://schemas.openxmlformats.org/officeDocument/2006/relationships/hyperlink" Target="https://www.wikidata.org/wiki/Q61476560" TargetMode="External"/><Relationship Id="rId3" Type="http://schemas.openxmlformats.org/officeDocument/2006/relationships/hyperlink" Target="http://viaf.org/viaf/79129998" TargetMode="External"/><Relationship Id="rId7" Type="http://schemas.openxmlformats.org/officeDocument/2006/relationships/hyperlink" Target="http://viaf.org/viaf/42130209" TargetMode="External"/><Relationship Id="rId12" Type="http://schemas.openxmlformats.org/officeDocument/2006/relationships/hyperlink" Target="http://viaf.org/viaf/57680919" TargetMode="External"/><Relationship Id="rId17" Type="http://schemas.openxmlformats.org/officeDocument/2006/relationships/printerSettings" Target="../printerSettings/printerSettings1.bin"/><Relationship Id="rId2" Type="http://schemas.openxmlformats.org/officeDocument/2006/relationships/hyperlink" Target="http://viaf.org/viaf/24461179" TargetMode="External"/><Relationship Id="rId16" Type="http://schemas.openxmlformats.org/officeDocument/2006/relationships/hyperlink" Target="http://viaf.org/viaf/35260547" TargetMode="External"/><Relationship Id="rId1" Type="http://schemas.openxmlformats.org/officeDocument/2006/relationships/hyperlink" Target="http://viaf.org/viaf/8397197" TargetMode="External"/><Relationship Id="rId6" Type="http://schemas.openxmlformats.org/officeDocument/2006/relationships/hyperlink" Target="http://viaf.org/viaf/37955491" TargetMode="External"/><Relationship Id="rId11" Type="http://schemas.openxmlformats.org/officeDocument/2006/relationships/hyperlink" Target="http://viaf.org/viaf/44450598" TargetMode="External"/><Relationship Id="rId5" Type="http://schemas.openxmlformats.org/officeDocument/2006/relationships/hyperlink" Target="http://viaf.org/viaf/207546241" TargetMode="External"/><Relationship Id="rId15" Type="http://schemas.openxmlformats.org/officeDocument/2006/relationships/hyperlink" Target="https://www.wikidata.org/wiki/Q3617742" TargetMode="External"/><Relationship Id="rId10" Type="http://schemas.openxmlformats.org/officeDocument/2006/relationships/hyperlink" Target="http://viaf.org/viaf/23170497" TargetMode="External"/><Relationship Id="rId4" Type="http://schemas.openxmlformats.org/officeDocument/2006/relationships/hyperlink" Target="http://viaf.org/viaf/7486886" TargetMode="External"/><Relationship Id="rId9" Type="http://schemas.openxmlformats.org/officeDocument/2006/relationships/hyperlink" Target="http://viaf.org/viaf/56605075" TargetMode="External"/><Relationship Id="rId14" Type="http://schemas.openxmlformats.org/officeDocument/2006/relationships/hyperlink" Target="https://www.wikidata.org/wiki/Q22069308"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viaf.org/viaf/148353750" TargetMode="External"/><Relationship Id="rId18" Type="http://schemas.openxmlformats.org/officeDocument/2006/relationships/hyperlink" Target="https://www.wikidata.org/wiki/Q65132362" TargetMode="External"/><Relationship Id="rId26" Type="http://schemas.openxmlformats.org/officeDocument/2006/relationships/hyperlink" Target="http://viaf.org/viaf/130704381" TargetMode="External"/><Relationship Id="rId39" Type="http://schemas.openxmlformats.org/officeDocument/2006/relationships/hyperlink" Target="https://www.wikidata.org/wiki/Q122476" TargetMode="External"/><Relationship Id="rId21" Type="http://schemas.openxmlformats.org/officeDocument/2006/relationships/hyperlink" Target="https://cultura.gov.it/luogo/villa-paolina" TargetMode="External"/><Relationship Id="rId34" Type="http://schemas.openxmlformats.org/officeDocument/2006/relationships/hyperlink" Target="http://viaf.org/viaf/122815807" TargetMode="External"/><Relationship Id="rId42" Type="http://schemas.openxmlformats.org/officeDocument/2006/relationships/hyperlink" Target="https://www.wikidata.org/wiki/Q1255652" TargetMode="External"/><Relationship Id="rId47" Type="http://schemas.openxmlformats.org/officeDocument/2006/relationships/hyperlink" Target="https://www.wikidata.org/wiki/Q2245152" TargetMode="External"/><Relationship Id="rId50" Type="http://schemas.openxmlformats.org/officeDocument/2006/relationships/hyperlink" Target="http://viaf.org/viaf/5868148122904295200001" TargetMode="External"/><Relationship Id="rId55" Type="http://schemas.openxmlformats.org/officeDocument/2006/relationships/hyperlink" Target="http://viaf.org/viaf/135862520" TargetMode="External"/><Relationship Id="rId7" Type="http://schemas.openxmlformats.org/officeDocument/2006/relationships/hyperlink" Target="http://viaf.org/viaf/173736003" TargetMode="External"/><Relationship Id="rId2" Type="http://schemas.openxmlformats.org/officeDocument/2006/relationships/hyperlink" Target="http://viaf.org/viaf/127262991" TargetMode="External"/><Relationship Id="rId16" Type="http://schemas.openxmlformats.org/officeDocument/2006/relationships/hyperlink" Target="http://viaf.org/viaf/272845058" TargetMode="External"/><Relationship Id="rId29" Type="http://schemas.openxmlformats.org/officeDocument/2006/relationships/hyperlink" Target="http://viaf.org/viaf/145358176" TargetMode="External"/><Relationship Id="rId11" Type="http://schemas.openxmlformats.org/officeDocument/2006/relationships/hyperlink" Target="http://viaf.org/viaf/307288822" TargetMode="External"/><Relationship Id="rId24" Type="http://schemas.openxmlformats.org/officeDocument/2006/relationships/hyperlink" Target="http://viaf.org/viaf/142341240" TargetMode="External"/><Relationship Id="rId32" Type="http://schemas.openxmlformats.org/officeDocument/2006/relationships/hyperlink" Target="http://viaf.org/viaf/135862740" TargetMode="External"/><Relationship Id="rId37" Type="http://schemas.openxmlformats.org/officeDocument/2006/relationships/hyperlink" Target="https://www.wikidata.org/wiki/Q1954237" TargetMode="External"/><Relationship Id="rId40" Type="http://schemas.openxmlformats.org/officeDocument/2006/relationships/hyperlink" Target="https://www.wikidata.org/wiki/Q3947649" TargetMode="External"/><Relationship Id="rId45" Type="http://schemas.openxmlformats.org/officeDocument/2006/relationships/hyperlink" Target="https://www.wikidata.org/wiki/Q55164626" TargetMode="External"/><Relationship Id="rId53" Type="http://schemas.openxmlformats.org/officeDocument/2006/relationships/hyperlink" Target="https://www.wikidata.org/wiki/Q27929472" TargetMode="External"/><Relationship Id="rId5" Type="http://schemas.openxmlformats.org/officeDocument/2006/relationships/hyperlink" Target="https://www.wikidata.org/wiki/Q17154436" TargetMode="External"/><Relationship Id="rId19" Type="http://schemas.openxmlformats.org/officeDocument/2006/relationships/hyperlink" Target="http://viaf.org/viaf/155227712" TargetMode="External"/><Relationship Id="rId4" Type="http://schemas.openxmlformats.org/officeDocument/2006/relationships/hyperlink" Target="http://viaf.org/viaf/145790064" TargetMode="External"/><Relationship Id="rId9" Type="http://schemas.openxmlformats.org/officeDocument/2006/relationships/hyperlink" Target="http://viaf.org/viaf/151303818" TargetMode="External"/><Relationship Id="rId14" Type="http://schemas.openxmlformats.org/officeDocument/2006/relationships/hyperlink" Target="https://www.wikidata.org/wiki/Q716342" TargetMode="External"/><Relationship Id="rId22" Type="http://schemas.openxmlformats.org/officeDocument/2006/relationships/hyperlink" Target="https://www.comune.carpegna.pu.it/vivere-il-comune/luoghi/l/palazzo-1/palazzo-carpegna-35?cHash=319f72f3c9568fad3a181618747d4c6f" TargetMode="External"/><Relationship Id="rId27" Type="http://schemas.openxmlformats.org/officeDocument/2006/relationships/hyperlink" Target="http://viaf.org/viaf/147649675" TargetMode="External"/><Relationship Id="rId30" Type="http://schemas.openxmlformats.org/officeDocument/2006/relationships/hyperlink" Target="http://viaf.org/viaf/147271225" TargetMode="External"/><Relationship Id="rId35" Type="http://schemas.openxmlformats.org/officeDocument/2006/relationships/hyperlink" Target="https://sias-archivi.cultura.gov.it/cgi-bin/pagina.pl?TipoPag=prodente&amp;Chiave=74219&amp;RicProgetto=as%2Dmilano" TargetMode="External"/><Relationship Id="rId43" Type="http://schemas.openxmlformats.org/officeDocument/2006/relationships/hyperlink" Target="https://www.wikidata.org/wiki/Q131564608" TargetMode="External"/><Relationship Id="rId48" Type="http://schemas.openxmlformats.org/officeDocument/2006/relationships/hyperlink" Target="https://www.wikidata.org/wiki/Q134371478" TargetMode="External"/><Relationship Id="rId56" Type="http://schemas.openxmlformats.org/officeDocument/2006/relationships/hyperlink" Target="http://viaf.org/viaf/137848876" TargetMode="External"/><Relationship Id="rId8" Type="http://schemas.openxmlformats.org/officeDocument/2006/relationships/hyperlink" Target="http://viaf.org/viaf/244604707" TargetMode="External"/><Relationship Id="rId51" Type="http://schemas.openxmlformats.org/officeDocument/2006/relationships/hyperlink" Target="http://viaf.org/viaf/154546393" TargetMode="External"/><Relationship Id="rId3" Type="http://schemas.openxmlformats.org/officeDocument/2006/relationships/hyperlink" Target="http://viaf.org/viaf/130698811" TargetMode="External"/><Relationship Id="rId12" Type="http://schemas.openxmlformats.org/officeDocument/2006/relationships/hyperlink" Target="https://www.wikidata.org/wiki/Q153660" TargetMode="External"/><Relationship Id="rId17" Type="http://schemas.openxmlformats.org/officeDocument/2006/relationships/hyperlink" Target="http://viaf.org/viaf/130899505" TargetMode="External"/><Relationship Id="rId25" Type="http://schemas.openxmlformats.org/officeDocument/2006/relationships/hyperlink" Target="https://www.wikidata.org/wiki/Q128781" TargetMode="External"/><Relationship Id="rId33" Type="http://schemas.openxmlformats.org/officeDocument/2006/relationships/hyperlink" Target="http://viaf.org/viaf/172108264" TargetMode="External"/><Relationship Id="rId38" Type="http://schemas.openxmlformats.org/officeDocument/2006/relationships/hyperlink" Target="https://www.wikidata.org/wiki/Q2223886" TargetMode="External"/><Relationship Id="rId46" Type="http://schemas.openxmlformats.org/officeDocument/2006/relationships/hyperlink" Target="https://www.wikidata.org/wiki/Q3889703" TargetMode="External"/><Relationship Id="rId20" Type="http://schemas.openxmlformats.org/officeDocument/2006/relationships/hyperlink" Target="http://viaf.org/viaf/80145424520886830105" TargetMode="External"/><Relationship Id="rId41" Type="http://schemas.openxmlformats.org/officeDocument/2006/relationships/hyperlink" Target="https://www.wikidata.org/wiki/Q1492337" TargetMode="External"/><Relationship Id="rId54" Type="http://schemas.openxmlformats.org/officeDocument/2006/relationships/hyperlink" Target="http://viaf.org/viaf/239192413" TargetMode="External"/><Relationship Id="rId1" Type="http://schemas.openxmlformats.org/officeDocument/2006/relationships/hyperlink" Target="http://viaf.org/viaf/157020123" TargetMode="External"/><Relationship Id="rId6" Type="http://schemas.openxmlformats.org/officeDocument/2006/relationships/hyperlink" Target="http://viaf.org/viaf/158311786" TargetMode="External"/><Relationship Id="rId15" Type="http://schemas.openxmlformats.org/officeDocument/2006/relationships/hyperlink" Target="http://viaf.org/viaf/155685834" TargetMode="External"/><Relationship Id="rId23" Type="http://schemas.openxmlformats.org/officeDocument/2006/relationships/hyperlink" Target="http://viaf.org/viaf/167449817" TargetMode="External"/><Relationship Id="rId28" Type="http://schemas.openxmlformats.org/officeDocument/2006/relationships/hyperlink" Target="http://viaf.org/viaf/127804456" TargetMode="External"/><Relationship Id="rId36" Type="http://schemas.openxmlformats.org/officeDocument/2006/relationships/hyperlink" Target="http://viaf.org/viaf/73144647641989307788" TargetMode="External"/><Relationship Id="rId49" Type="http://schemas.openxmlformats.org/officeDocument/2006/relationships/hyperlink" Target="https://www.wikidata.org/wiki/Q134371478" TargetMode="External"/><Relationship Id="rId57" Type="http://schemas.openxmlformats.org/officeDocument/2006/relationships/hyperlink" Target="http://viaf.org/viaf/130252198" TargetMode="External"/><Relationship Id="rId10" Type="http://schemas.openxmlformats.org/officeDocument/2006/relationships/hyperlink" Target="http://viaf.org/viaf/131723039" TargetMode="External"/><Relationship Id="rId31" Type="http://schemas.openxmlformats.org/officeDocument/2006/relationships/hyperlink" Target="http://viaf.org/viaf/138048975" TargetMode="External"/><Relationship Id="rId44" Type="http://schemas.openxmlformats.org/officeDocument/2006/relationships/hyperlink" Target="https://www.wikidata.org/wiki/Q18601508" TargetMode="External"/><Relationship Id="rId52" Type="http://schemas.openxmlformats.org/officeDocument/2006/relationships/hyperlink" Target="http://viaf.org/viaf/12279861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geonames.org/8334595/villa-farnese.html" TargetMode="External"/><Relationship Id="rId21" Type="http://schemas.openxmlformats.org/officeDocument/2006/relationships/hyperlink" Target="https://www.wikidata.org/wiki/Q153660" TargetMode="External"/><Relationship Id="rId42" Type="http://schemas.openxmlformats.org/officeDocument/2006/relationships/hyperlink" Target="https://www.geonames.org/7828764/museo-archeologico-regionale-antonio-salinas.html" TargetMode="External"/><Relationship Id="rId47" Type="http://schemas.openxmlformats.org/officeDocument/2006/relationships/hyperlink" Target="https://www.geonames.org/8949577/san-martino-delle-scale.html" TargetMode="External"/><Relationship Id="rId63" Type="http://schemas.openxmlformats.org/officeDocument/2006/relationships/hyperlink" Target="https://www.geonames.org/3175676/guiglia.html" TargetMode="External"/><Relationship Id="rId68" Type="http://schemas.openxmlformats.org/officeDocument/2006/relationships/hyperlink" Target="https://www.geonames.org/6697915/galleria-sabauda.html" TargetMode="External"/><Relationship Id="rId84" Type="http://schemas.openxmlformats.org/officeDocument/2006/relationships/hyperlink" Target="https://www.geonames.org/10286908/palazzo-della-pilotta.html" TargetMode="External"/><Relationship Id="rId16" Type="http://schemas.openxmlformats.org/officeDocument/2006/relationships/hyperlink" Target="https://www.wikidata.org/wiki/Q338367" TargetMode="External"/><Relationship Id="rId11" Type="http://schemas.openxmlformats.org/officeDocument/2006/relationships/hyperlink" Target="https://www.geonames.org/10278745/museo-poldi-pezzoli.html" TargetMode="External"/><Relationship Id="rId32" Type="http://schemas.openxmlformats.org/officeDocument/2006/relationships/hyperlink" Target="https://www.geonames.org/10628950/gallerie-dell-accademia.html" TargetMode="External"/><Relationship Id="rId37" Type="http://schemas.openxmlformats.org/officeDocument/2006/relationships/hyperlink" Target="https://www.wikidata.org/wiki/Q2754576" TargetMode="External"/><Relationship Id="rId53" Type="http://schemas.openxmlformats.org/officeDocument/2006/relationships/hyperlink" Target="https://www.wikidata.org/wiki/Q1255652" TargetMode="External"/><Relationship Id="rId58" Type="http://schemas.openxmlformats.org/officeDocument/2006/relationships/hyperlink" Target="https://www.geonames.org/6539213/pachino.html" TargetMode="External"/><Relationship Id="rId74" Type="http://schemas.openxmlformats.org/officeDocument/2006/relationships/hyperlink" Target="https://www.geonames.org/8949455/gaione.html" TargetMode="External"/><Relationship Id="rId79" Type="http://schemas.openxmlformats.org/officeDocument/2006/relationships/hyperlink" Target="https://www.geonames.org/8133640/musei-civici-di-palazzo-farnese.html" TargetMode="External"/><Relationship Id="rId5" Type="http://schemas.openxmlformats.org/officeDocument/2006/relationships/hyperlink" Target="https://www.geonames.org/3180455/carpegna.html" TargetMode="External"/><Relationship Id="rId19" Type="http://schemas.openxmlformats.org/officeDocument/2006/relationships/hyperlink" Target="https://www.wikidata.org/wiki/Q25841599" TargetMode="External"/><Relationship Id="rId14" Type="http://schemas.openxmlformats.org/officeDocument/2006/relationships/hyperlink" Target="https://www.wikidata.org/wiki/Q17154436" TargetMode="External"/><Relationship Id="rId22" Type="http://schemas.openxmlformats.org/officeDocument/2006/relationships/hyperlink" Target="https://www.wikidata.org/wiki/Q3658360" TargetMode="External"/><Relationship Id="rId27" Type="http://schemas.openxmlformats.org/officeDocument/2006/relationships/hyperlink" Target="https://www.geonames.org/6269267/castel-sant-angelo.html" TargetMode="External"/><Relationship Id="rId30" Type="http://schemas.openxmlformats.org/officeDocument/2006/relationships/hyperlink" Target="https://www.geonames.org/7602822/palazzo-ducale.html" TargetMode="External"/><Relationship Id="rId35" Type="http://schemas.openxmlformats.org/officeDocument/2006/relationships/hyperlink" Target="https://www.geonames.org/7303254/galleria-borghese.html" TargetMode="External"/><Relationship Id="rId43" Type="http://schemas.openxmlformats.org/officeDocument/2006/relationships/hyperlink" Target="https://www.geonames.org/2523918/palermo.html" TargetMode="External"/><Relationship Id="rId48" Type="http://schemas.openxmlformats.org/officeDocument/2006/relationships/hyperlink" Target="https://www.geonames.org/6540050/monreale.html" TargetMode="External"/><Relationship Id="rId56" Type="http://schemas.openxmlformats.org/officeDocument/2006/relationships/hyperlink" Target="https://www.geonames.org/6541964/gela.html" TargetMode="External"/><Relationship Id="rId64" Type="http://schemas.openxmlformats.org/officeDocument/2006/relationships/hyperlink" Target="https://www.geonames.org/8964994/stresa.html" TargetMode="External"/><Relationship Id="rId69" Type="http://schemas.openxmlformats.org/officeDocument/2006/relationships/hyperlink" Target="https://www.wikidata.org/wiki/Q55164626" TargetMode="External"/><Relationship Id="rId77" Type="http://schemas.openxmlformats.org/officeDocument/2006/relationships/hyperlink" Target="https://www.geonames.org/10286908/palazzo-della-pilotta.html" TargetMode="External"/><Relationship Id="rId8" Type="http://schemas.openxmlformats.org/officeDocument/2006/relationships/hyperlink" Target="https://www.geonames.org/3169070/rome.html" TargetMode="External"/><Relationship Id="rId51" Type="http://schemas.openxmlformats.org/officeDocument/2006/relationships/hyperlink" Target="https://www.wikidata.org/wiki/Q2223886" TargetMode="External"/><Relationship Id="rId72" Type="http://schemas.openxmlformats.org/officeDocument/2006/relationships/hyperlink" Target="https://www.geonames.org/3171058/piacenza.html" TargetMode="External"/><Relationship Id="rId80" Type="http://schemas.openxmlformats.org/officeDocument/2006/relationships/hyperlink" Target="https://www.geonames.org/10286297/galleria-d-arte-ricci-oddi.html" TargetMode="External"/><Relationship Id="rId85" Type="http://schemas.openxmlformats.org/officeDocument/2006/relationships/hyperlink" Target="https://nominatim.openstreetmap.org/ui/details.html?osmtype=R&amp;osmid=1640895&amp;class=building" TargetMode="External"/><Relationship Id="rId3" Type="http://schemas.openxmlformats.org/officeDocument/2006/relationships/hyperlink" Target="https://www.geonames.org/3171180/perugia.html" TargetMode="External"/><Relationship Id="rId12" Type="http://schemas.openxmlformats.org/officeDocument/2006/relationships/hyperlink" Target="https://www.geonames.org/8133663/pinacoteca-ambrosiana.html" TargetMode="External"/><Relationship Id="rId17" Type="http://schemas.openxmlformats.org/officeDocument/2006/relationships/hyperlink" Target="https://www.wikidata.org/wiki/Q3388589" TargetMode="External"/><Relationship Id="rId25" Type="http://schemas.openxmlformats.org/officeDocument/2006/relationships/hyperlink" Target="https://www.geonames.org/8015103/galleria-dell-arte-moderna.html" TargetMode="External"/><Relationship Id="rId33" Type="http://schemas.openxmlformats.org/officeDocument/2006/relationships/hyperlink" Target="https://www.geonames.org/11836151/ca-d-oro.html" TargetMode="External"/><Relationship Id="rId38" Type="http://schemas.openxmlformats.org/officeDocument/2006/relationships/hyperlink" Target="https://www.wikidata.org/wiki/Q23405709" TargetMode="External"/><Relationship Id="rId46" Type="http://schemas.openxmlformats.org/officeDocument/2006/relationships/hyperlink" Target="https://www.geonames.org/6541861/caltanissetta.html" TargetMode="External"/><Relationship Id="rId59" Type="http://schemas.openxmlformats.org/officeDocument/2006/relationships/hyperlink" Target="https://www.geonames.org/2524240/marzamemi.html" TargetMode="External"/><Relationship Id="rId67" Type="http://schemas.openxmlformats.org/officeDocument/2006/relationships/hyperlink" Target="https://www.wikidata.org/wiki/Q18601508" TargetMode="External"/><Relationship Id="rId20" Type="http://schemas.openxmlformats.org/officeDocument/2006/relationships/hyperlink" Target="https://www.geonames.org/6949438/santa-maria-delle-grazie.html" TargetMode="External"/><Relationship Id="rId41" Type="http://schemas.openxmlformats.org/officeDocument/2006/relationships/hyperlink" Target="https://www.wikidata.org/wiki/Q1058677" TargetMode="External"/><Relationship Id="rId54" Type="http://schemas.openxmlformats.org/officeDocument/2006/relationships/hyperlink" Target="https://www.wikidata.org/wiki/Q1492337" TargetMode="External"/><Relationship Id="rId62" Type="http://schemas.openxmlformats.org/officeDocument/2006/relationships/hyperlink" Target="https://www.geonames.org/3165524/turin.html" TargetMode="External"/><Relationship Id="rId70" Type="http://schemas.openxmlformats.org/officeDocument/2006/relationships/hyperlink" Target="https://www.wikidata.org/wiki/Q3889703" TargetMode="External"/><Relationship Id="rId75" Type="http://schemas.openxmlformats.org/officeDocument/2006/relationships/hyperlink" Target="https://www.geonames.org/3165465/torrechiara.html" TargetMode="External"/><Relationship Id="rId83" Type="http://schemas.openxmlformats.org/officeDocument/2006/relationships/hyperlink" Target="https://nominatim.openstreetmap.org/ui/details.html?osmtype=R&amp;osmid=42884&amp;class=boundary" TargetMode="External"/><Relationship Id="rId1" Type="http://schemas.openxmlformats.org/officeDocument/2006/relationships/hyperlink" Target="https://www.geonames.org/3182164/bergamo.html" TargetMode="External"/><Relationship Id="rId6" Type="http://schemas.openxmlformats.org/officeDocument/2006/relationships/hyperlink" Target="https://www.geonames.org/3165035/urbino.html" TargetMode="External"/><Relationship Id="rId15" Type="http://schemas.openxmlformats.org/officeDocument/2006/relationships/hyperlink" Target="https://www.geonames.org/11839661/museo-teatrale-alla-scala.html" TargetMode="External"/><Relationship Id="rId23" Type="http://schemas.openxmlformats.org/officeDocument/2006/relationships/hyperlink" Target="https://www.wikidata.org/wiki/Q338472" TargetMode="External"/><Relationship Id="rId28" Type="http://schemas.openxmlformats.org/officeDocument/2006/relationships/hyperlink" Target="https://www.geonames.org/3183089/ancona.html" TargetMode="External"/><Relationship Id="rId36" Type="http://schemas.openxmlformats.org/officeDocument/2006/relationships/hyperlink" Target="https://www.geonames.org/8199619/galleria-nazionale-d-arte-antica-in-palazzo-corsini.html" TargetMode="External"/><Relationship Id="rId49" Type="http://schemas.openxmlformats.org/officeDocument/2006/relationships/hyperlink" Target="https://www.geonames.org/7828764/museo-archeologico-regionale-antonio-salinas.html" TargetMode="External"/><Relationship Id="rId57" Type="http://schemas.openxmlformats.org/officeDocument/2006/relationships/hyperlink" Target="https://www.geonames.org/2523184/scoglitti.html" TargetMode="External"/><Relationship Id="rId10" Type="http://schemas.openxmlformats.org/officeDocument/2006/relationships/hyperlink" Target="https://www.geonames.org/6949436/pinacoteca-di-brera.html" TargetMode="External"/><Relationship Id="rId31" Type="http://schemas.openxmlformats.org/officeDocument/2006/relationships/hyperlink" Target="https://www.wikidata.org/wiki/Q3939494" TargetMode="External"/><Relationship Id="rId44" Type="http://schemas.openxmlformats.org/officeDocument/2006/relationships/hyperlink" Target="https://www.geonames.org/2522876/trapani.html" TargetMode="External"/><Relationship Id="rId52" Type="http://schemas.openxmlformats.org/officeDocument/2006/relationships/hyperlink" Target="https://www.wikidata.org/wiki/Q122476" TargetMode="External"/><Relationship Id="rId60" Type="http://schemas.openxmlformats.org/officeDocument/2006/relationships/hyperlink" Target="https://www.geonames.org/6540854/avola.html" TargetMode="External"/><Relationship Id="rId65" Type="http://schemas.openxmlformats.org/officeDocument/2006/relationships/hyperlink" Target="https://www.geonames.org/6697884/palazzo-carignano.html" TargetMode="External"/><Relationship Id="rId73" Type="http://schemas.openxmlformats.org/officeDocument/2006/relationships/hyperlink" Target="https://www.geonames.org/8966149/veano.html" TargetMode="External"/><Relationship Id="rId78" Type="http://schemas.openxmlformats.org/officeDocument/2006/relationships/hyperlink" Target="https://www.wikidata.org/wiki/Q27929472" TargetMode="External"/><Relationship Id="rId81" Type="http://schemas.openxmlformats.org/officeDocument/2006/relationships/hyperlink" Target="https://nominatim.openstreetmap.org/ui/details.html?osmtype=W&amp;osmid=651830217&amp;class=tourism" TargetMode="External"/><Relationship Id="rId4" Type="http://schemas.openxmlformats.org/officeDocument/2006/relationships/hyperlink" Target="https://www.geonames.org/3171874/orvieto.html" TargetMode="External"/><Relationship Id="rId9" Type="http://schemas.openxmlformats.org/officeDocument/2006/relationships/hyperlink" Target="https://www.geonames.org/3180635/caprarola.html" TargetMode="External"/><Relationship Id="rId13" Type="http://schemas.openxmlformats.org/officeDocument/2006/relationships/hyperlink" Target="https://www.geonames.org/3166568/castello-sforzesco.html" TargetMode="External"/><Relationship Id="rId18" Type="http://schemas.openxmlformats.org/officeDocument/2006/relationships/hyperlink" Target="https://www.wikidata.org/wiki/Q3661915" TargetMode="External"/><Relationship Id="rId39" Type="http://schemas.openxmlformats.org/officeDocument/2006/relationships/hyperlink" Target="https://www.wikidata.org/wiki/Q21008951" TargetMode="External"/><Relationship Id="rId34" Type="http://schemas.openxmlformats.org/officeDocument/2006/relationships/hyperlink" Target="https://www.geonames.org/11127075/civico-museo-d-arte-orientale.html" TargetMode="External"/><Relationship Id="rId50" Type="http://schemas.openxmlformats.org/officeDocument/2006/relationships/hyperlink" Target="https://www.geonames.org/7828764/museo-archeologico-regionale-antonio-salinas.html" TargetMode="External"/><Relationship Id="rId55" Type="http://schemas.openxmlformats.org/officeDocument/2006/relationships/hyperlink" Target="https://www.geonames.org/6541340/licata.html" TargetMode="External"/><Relationship Id="rId76" Type="http://schemas.openxmlformats.org/officeDocument/2006/relationships/hyperlink" Target="https://www.geonames.org/7302924/castello-di-torrechiara.html" TargetMode="External"/><Relationship Id="rId7" Type="http://schemas.openxmlformats.org/officeDocument/2006/relationships/hyperlink" Target="https://www.geonames.org/3173435/milan.html" TargetMode="External"/><Relationship Id="rId71" Type="http://schemas.openxmlformats.org/officeDocument/2006/relationships/hyperlink" Target="https://www.geonames.org/3171457/parma.html" TargetMode="External"/><Relationship Id="rId2" Type="http://schemas.openxmlformats.org/officeDocument/2006/relationships/hyperlink" Target="https://www.geonames.org/3181554/brescia.html" TargetMode="External"/><Relationship Id="rId29" Type="http://schemas.openxmlformats.org/officeDocument/2006/relationships/hyperlink" Target="https://www.geonames.org/10288100/soprintendenza-archeologica-delle-marche.html" TargetMode="External"/><Relationship Id="rId24" Type="http://schemas.openxmlformats.org/officeDocument/2006/relationships/hyperlink" Target="https://www.wikidata.org/wiki/Q2860420" TargetMode="External"/><Relationship Id="rId40" Type="http://schemas.openxmlformats.org/officeDocument/2006/relationships/hyperlink" Target="https://www.wikidata.org/wiki/Q732658" TargetMode="External"/><Relationship Id="rId45" Type="http://schemas.openxmlformats.org/officeDocument/2006/relationships/hyperlink" Target="https://www.geonames.org/6541860/agrigento.html" TargetMode="External"/><Relationship Id="rId66" Type="http://schemas.openxmlformats.org/officeDocument/2006/relationships/hyperlink" Target="https://www.wikidata.org/wiki/Q131564608" TargetMode="External"/><Relationship Id="rId61" Type="http://schemas.openxmlformats.org/officeDocument/2006/relationships/hyperlink" Target="https://www.geonames.org/2523083/siracusa.html" TargetMode="External"/><Relationship Id="rId82" Type="http://schemas.openxmlformats.org/officeDocument/2006/relationships/hyperlink" Target="https://nominatim.openstreetmap.org/ui/details.html?osmtype=R&amp;osmid=42965&amp;class=boundar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hyperlink" Target="https://thes.bncf.firenze.sbn.it/termine.php?id=16778" TargetMode="External"/><Relationship Id="rId13" Type="http://schemas.openxmlformats.org/officeDocument/2006/relationships/hyperlink" Target="https://www.wikidata.org/wiki/Q716342" TargetMode="External"/><Relationship Id="rId3" Type="http://schemas.openxmlformats.org/officeDocument/2006/relationships/hyperlink" Target="https://thes.bncf.firenze.sbn.it/termine.php?id=1117" TargetMode="External"/><Relationship Id="rId7" Type="http://schemas.openxmlformats.org/officeDocument/2006/relationships/hyperlink" Target="https://www.wikidata.org/wiki/Q3491114" TargetMode="External"/><Relationship Id="rId12" Type="http://schemas.openxmlformats.org/officeDocument/2006/relationships/hyperlink" Target="https://www.wikidata.org/wiki/Q128781" TargetMode="External"/><Relationship Id="rId2" Type="http://schemas.openxmlformats.org/officeDocument/2006/relationships/hyperlink" Target="https://thes.bncf.firenze.sbn.it/termine.php?id=9241" TargetMode="External"/><Relationship Id="rId1" Type="http://schemas.openxmlformats.org/officeDocument/2006/relationships/hyperlink" Target="https://thes.bncf.firenze.sbn.it/termine.php?id=13796" TargetMode="External"/><Relationship Id="rId6" Type="http://schemas.openxmlformats.org/officeDocument/2006/relationships/hyperlink" Target="https://www.wikidata.org/wiki/Q3778681" TargetMode="External"/><Relationship Id="rId11" Type="http://schemas.openxmlformats.org/officeDocument/2006/relationships/hyperlink" Target="https://www.wikidata.org/wiki/Q328376" TargetMode="External"/><Relationship Id="rId5" Type="http://schemas.openxmlformats.org/officeDocument/2006/relationships/hyperlink" Target="https://thes.bncf.firenze.sbn.it/termine.php?id=20289" TargetMode="External"/><Relationship Id="rId10" Type="http://schemas.openxmlformats.org/officeDocument/2006/relationships/hyperlink" Target="https://www.wikidata.org/wiki/Q30301727" TargetMode="External"/><Relationship Id="rId4" Type="http://schemas.openxmlformats.org/officeDocument/2006/relationships/hyperlink" Target="https://thes.bncf.firenze.sbn.it/termine.php?id=32821" TargetMode="External"/><Relationship Id="rId9" Type="http://schemas.openxmlformats.org/officeDocument/2006/relationships/hyperlink" Target="https://thes.bncf.firenze.sbn.it/termine.php?id=2288" TargetMode="External"/><Relationship Id="rId14" Type="http://schemas.openxmlformats.org/officeDocument/2006/relationships/hyperlink" Target="https://thes.bncf.firenze.sbn.it/termine.php?id=19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33AE-7A06-467C-ABCA-96066BD32BC2}">
  <dimension ref="A1:AE41"/>
  <sheetViews>
    <sheetView tabSelected="1" zoomScale="40" zoomScaleNormal="40" workbookViewId="0">
      <pane xSplit="1" topLeftCell="P1" activePane="topRight" state="frozen"/>
      <selection pane="topRight" activeCell="S1" sqref="S1:T2"/>
    </sheetView>
  </sheetViews>
  <sheetFormatPr defaultRowHeight="18.5" x14ac:dyDescent="0.35"/>
  <cols>
    <col min="1" max="1" width="17.81640625" customWidth="1"/>
    <col min="2" max="2" width="15.54296875" customWidth="1"/>
    <col min="3" max="3" width="14.54296875" customWidth="1"/>
    <col min="4" max="4" width="35" style="31" customWidth="1"/>
    <col min="5" max="5" width="15.6328125" customWidth="1"/>
    <col min="6" max="6" width="15.54296875" customWidth="1"/>
    <col min="7" max="7" width="14.1796875" bestFit="1" customWidth="1"/>
    <col min="8" max="8" width="16" bestFit="1" customWidth="1"/>
    <col min="9" max="9" width="35.453125" customWidth="1"/>
    <col min="10" max="10" width="20.36328125" customWidth="1"/>
    <col min="11" max="11" width="18.6328125" customWidth="1"/>
    <col min="12" max="12" width="54.453125" customWidth="1"/>
    <col min="13" max="13" width="20.36328125" customWidth="1"/>
    <col min="14" max="14" width="31.54296875" customWidth="1"/>
    <col min="15" max="15" width="35.453125" customWidth="1"/>
    <col min="16" max="16" width="39.26953125" customWidth="1"/>
    <col min="17" max="17" width="62.36328125" customWidth="1"/>
    <col min="18" max="18" width="52.08984375" customWidth="1"/>
    <col min="19" max="19" width="74.54296875" customWidth="1"/>
    <col min="20" max="20" width="42.36328125" customWidth="1"/>
    <col min="21" max="21" width="19.6328125" style="13" customWidth="1"/>
    <col min="22" max="22" width="35.90625" customWidth="1"/>
    <col min="23" max="23" width="24.90625" customWidth="1"/>
    <col min="24" max="24" width="28.453125" customWidth="1"/>
  </cols>
  <sheetData>
    <row r="1" spans="1:24" s="1" customFormat="1" x14ac:dyDescent="0.35">
      <c r="A1" s="2" t="s">
        <v>635</v>
      </c>
      <c r="B1" s="2" t="s">
        <v>0</v>
      </c>
      <c r="C1" s="2" t="s">
        <v>1</v>
      </c>
      <c r="D1" s="29" t="s">
        <v>2</v>
      </c>
      <c r="E1" s="2" t="s">
        <v>3</v>
      </c>
      <c r="F1" s="2" t="s">
        <v>4</v>
      </c>
      <c r="G1" s="2" t="s">
        <v>5</v>
      </c>
      <c r="H1" s="2" t="s">
        <v>6</v>
      </c>
      <c r="I1" s="2" t="s">
        <v>7</v>
      </c>
      <c r="J1" s="2" t="s">
        <v>777</v>
      </c>
      <c r="K1" s="2" t="s">
        <v>781</v>
      </c>
      <c r="L1" s="2" t="s">
        <v>634</v>
      </c>
      <c r="M1" s="2" t="s">
        <v>636</v>
      </c>
      <c r="N1" s="2" t="s">
        <v>785</v>
      </c>
      <c r="O1" s="2" t="s">
        <v>784</v>
      </c>
      <c r="P1" s="2" t="s">
        <v>789</v>
      </c>
      <c r="Q1" s="2" t="s">
        <v>637</v>
      </c>
      <c r="R1" s="2" t="s">
        <v>638</v>
      </c>
      <c r="S1" s="2" t="s">
        <v>639</v>
      </c>
      <c r="T1" s="2" t="s">
        <v>640</v>
      </c>
      <c r="U1" s="62" t="s">
        <v>650</v>
      </c>
      <c r="V1" s="2" t="s">
        <v>719</v>
      </c>
      <c r="W1" s="62" t="s">
        <v>720</v>
      </c>
      <c r="X1" s="9" t="s">
        <v>721</v>
      </c>
    </row>
    <row r="2" spans="1:24" ht="148" x14ac:dyDescent="0.35">
      <c r="A2" s="3" t="s">
        <v>8</v>
      </c>
      <c r="B2" s="3" t="s">
        <v>9</v>
      </c>
      <c r="C2" s="3" t="s">
        <v>10</v>
      </c>
      <c r="D2" s="30" t="s">
        <v>11</v>
      </c>
      <c r="E2" s="4">
        <v>1903</v>
      </c>
      <c r="F2" s="3" t="s">
        <v>12</v>
      </c>
      <c r="G2" s="3">
        <v>1957</v>
      </c>
      <c r="H2" s="3" t="s">
        <v>12</v>
      </c>
      <c r="I2" s="5" t="s">
        <v>13</v>
      </c>
      <c r="J2" s="5" t="s">
        <v>778</v>
      </c>
      <c r="K2" s="5" t="s">
        <v>782</v>
      </c>
      <c r="L2" s="5" t="s">
        <v>14</v>
      </c>
      <c r="M2" s="5" t="s">
        <v>15</v>
      </c>
      <c r="N2" s="5" t="s">
        <v>1296</v>
      </c>
      <c r="O2" s="5" t="s">
        <v>801</v>
      </c>
      <c r="P2" s="5" t="s">
        <v>1227</v>
      </c>
      <c r="Q2" s="5" t="s">
        <v>1297</v>
      </c>
      <c r="R2" s="5" t="s">
        <v>1298</v>
      </c>
      <c r="S2" s="5" t="s">
        <v>16</v>
      </c>
      <c r="T2" s="5" t="s">
        <v>17</v>
      </c>
      <c r="U2" s="5" t="s">
        <v>697</v>
      </c>
      <c r="V2" s="3" t="s">
        <v>1202</v>
      </c>
      <c r="W2" s="5" t="s">
        <v>723</v>
      </c>
      <c r="X2" s="5" t="s">
        <v>722</v>
      </c>
    </row>
    <row r="3" spans="1:24" ht="166.5" x14ac:dyDescent="0.35">
      <c r="A3" s="3" t="s">
        <v>18</v>
      </c>
      <c r="B3" s="3" t="s">
        <v>19</v>
      </c>
      <c r="C3" s="3" t="s">
        <v>20</v>
      </c>
      <c r="D3" s="32" t="s">
        <v>21</v>
      </c>
      <c r="E3" s="6">
        <v>1910</v>
      </c>
      <c r="F3" s="3" t="s">
        <v>22</v>
      </c>
      <c r="G3" s="3">
        <v>1998</v>
      </c>
      <c r="H3" s="3" t="s">
        <v>22</v>
      </c>
      <c r="I3" s="5" t="s">
        <v>23</v>
      </c>
      <c r="J3" s="5" t="s">
        <v>778</v>
      </c>
      <c r="K3" s="5" t="s">
        <v>782</v>
      </c>
      <c r="L3" s="5" t="s">
        <v>24</v>
      </c>
      <c r="M3" s="5" t="s">
        <v>25</v>
      </c>
      <c r="N3" s="5" t="s">
        <v>786</v>
      </c>
      <c r="O3" s="5" t="s">
        <v>790</v>
      </c>
      <c r="P3" s="5" t="s">
        <v>1228</v>
      </c>
      <c r="Q3" s="5" t="s">
        <v>1229</v>
      </c>
      <c r="R3" s="5" t="s">
        <v>26</v>
      </c>
      <c r="S3" s="5" t="s">
        <v>27</v>
      </c>
      <c r="T3" s="5" t="s">
        <v>28</v>
      </c>
      <c r="U3" s="5" t="s">
        <v>698</v>
      </c>
      <c r="V3" s="3" t="s">
        <v>1201</v>
      </c>
      <c r="W3" s="5" t="s">
        <v>833</v>
      </c>
      <c r="X3" s="50"/>
    </row>
    <row r="4" spans="1:24" ht="166.5" x14ac:dyDescent="0.35">
      <c r="A4" s="3" t="s">
        <v>29</v>
      </c>
      <c r="B4" s="3" t="s">
        <v>30</v>
      </c>
      <c r="C4" s="3" t="s">
        <v>31</v>
      </c>
      <c r="D4" s="32" t="s">
        <v>32</v>
      </c>
      <c r="E4" s="4">
        <v>1909</v>
      </c>
      <c r="F4" s="3" t="s">
        <v>33</v>
      </c>
      <c r="G4" s="3">
        <v>1991</v>
      </c>
      <c r="H4" s="3" t="s">
        <v>22</v>
      </c>
      <c r="I4" s="5" t="s">
        <v>34</v>
      </c>
      <c r="J4" s="5" t="s">
        <v>610</v>
      </c>
      <c r="K4" s="5" t="s">
        <v>782</v>
      </c>
      <c r="L4" s="51" t="s">
        <v>35</v>
      </c>
      <c r="M4" s="5" t="s">
        <v>36</v>
      </c>
      <c r="N4" s="5" t="s">
        <v>787</v>
      </c>
      <c r="O4" s="5" t="s">
        <v>962</v>
      </c>
      <c r="P4" s="5" t="s">
        <v>1230</v>
      </c>
      <c r="Q4" s="5" t="s">
        <v>1366</v>
      </c>
      <c r="R4" s="5" t="s">
        <v>37</v>
      </c>
      <c r="S4" s="5" t="s">
        <v>755</v>
      </c>
      <c r="T4" s="5" t="s">
        <v>38</v>
      </c>
      <c r="U4" s="5" t="s">
        <v>699</v>
      </c>
      <c r="V4" s="3" t="s">
        <v>1203</v>
      </c>
      <c r="W4" s="50"/>
      <c r="X4" s="50"/>
    </row>
    <row r="5" spans="1:24" ht="166.5" x14ac:dyDescent="0.35">
      <c r="A5" s="3" t="s">
        <v>93</v>
      </c>
      <c r="B5" s="3" t="s">
        <v>94</v>
      </c>
      <c r="C5" s="3" t="s">
        <v>95</v>
      </c>
      <c r="D5" s="32" t="s">
        <v>96</v>
      </c>
      <c r="E5" s="6">
        <v>1897</v>
      </c>
      <c r="F5" s="3" t="s">
        <v>22</v>
      </c>
      <c r="G5" s="3">
        <v>1986</v>
      </c>
      <c r="H5" s="3" t="s">
        <v>97</v>
      </c>
      <c r="I5" s="5" t="s">
        <v>860</v>
      </c>
      <c r="J5" s="3" t="s">
        <v>610</v>
      </c>
      <c r="K5" s="5" t="s">
        <v>782</v>
      </c>
      <c r="L5" s="5" t="s">
        <v>986</v>
      </c>
      <c r="M5" s="5" t="s">
        <v>858</v>
      </c>
      <c r="N5" s="5" t="s">
        <v>1216</v>
      </c>
      <c r="O5" s="5" t="s">
        <v>866</v>
      </c>
      <c r="P5" s="5" t="s">
        <v>980</v>
      </c>
      <c r="Q5" s="5" t="s">
        <v>1231</v>
      </c>
      <c r="R5" s="5" t="s">
        <v>1218</v>
      </c>
      <c r="S5" s="5" t="s">
        <v>1224</v>
      </c>
      <c r="T5" s="5" t="s">
        <v>981</v>
      </c>
      <c r="U5" s="5" t="s">
        <v>701</v>
      </c>
      <c r="V5" s="3" t="s">
        <v>1204</v>
      </c>
      <c r="W5" s="50"/>
      <c r="X5" s="50"/>
    </row>
    <row r="6" spans="1:24" ht="148" x14ac:dyDescent="0.35">
      <c r="A6" s="3" t="s">
        <v>87</v>
      </c>
      <c r="B6" s="3" t="s">
        <v>88</v>
      </c>
      <c r="C6" s="3" t="s">
        <v>89</v>
      </c>
      <c r="D6" s="30" t="s">
        <v>90</v>
      </c>
      <c r="E6" s="6">
        <v>1901</v>
      </c>
      <c r="F6" s="3" t="s">
        <v>91</v>
      </c>
      <c r="G6" s="3">
        <v>1979</v>
      </c>
      <c r="H6" s="3" t="s">
        <v>58</v>
      </c>
      <c r="I6" s="5" t="s">
        <v>92</v>
      </c>
      <c r="J6" s="5" t="s">
        <v>780</v>
      </c>
      <c r="K6" s="5" t="s">
        <v>782</v>
      </c>
      <c r="L6" s="5" t="s">
        <v>1004</v>
      </c>
      <c r="M6" s="5" t="s">
        <v>1019</v>
      </c>
      <c r="N6" s="5" t="s">
        <v>1024</v>
      </c>
      <c r="O6" s="5" t="s">
        <v>1225</v>
      </c>
      <c r="P6" s="5" t="s">
        <v>1232</v>
      </c>
      <c r="Q6" s="5" t="s">
        <v>1233</v>
      </c>
      <c r="R6" s="5" t="s">
        <v>1226</v>
      </c>
      <c r="S6" s="5" t="s">
        <v>1223</v>
      </c>
      <c r="T6" s="5" t="s">
        <v>990</v>
      </c>
      <c r="U6" s="5" t="s">
        <v>700</v>
      </c>
      <c r="V6" s="3" t="s">
        <v>1205</v>
      </c>
      <c r="W6" s="50"/>
      <c r="X6" s="50"/>
    </row>
    <row r="7" spans="1:24" ht="111" x14ac:dyDescent="0.35">
      <c r="A7" s="4" t="s">
        <v>98</v>
      </c>
      <c r="B7" s="3" t="s">
        <v>99</v>
      </c>
      <c r="C7" s="3" t="s">
        <v>100</v>
      </c>
      <c r="D7" s="30" t="s">
        <v>101</v>
      </c>
      <c r="E7" s="6">
        <v>1894</v>
      </c>
      <c r="F7" s="3" t="s">
        <v>102</v>
      </c>
      <c r="G7" s="3">
        <v>1967</v>
      </c>
      <c r="H7" s="3" t="s">
        <v>103</v>
      </c>
      <c r="I7" s="5" t="s">
        <v>104</v>
      </c>
      <c r="J7" s="3" t="s">
        <v>610</v>
      </c>
      <c r="K7" s="5" t="s">
        <v>782</v>
      </c>
      <c r="L7" s="5" t="s">
        <v>1132</v>
      </c>
      <c r="M7" s="5" t="s">
        <v>1341</v>
      </c>
      <c r="N7" s="5" t="s">
        <v>1245</v>
      </c>
      <c r="O7" s="5" t="s">
        <v>1234</v>
      </c>
      <c r="P7" s="5" t="s">
        <v>1235</v>
      </c>
      <c r="Q7" s="5" t="s">
        <v>1244</v>
      </c>
      <c r="R7" s="5" t="s">
        <v>1354</v>
      </c>
      <c r="S7" s="5" t="s">
        <v>1255</v>
      </c>
      <c r="T7" s="5" t="s">
        <v>1256</v>
      </c>
      <c r="U7" s="5"/>
      <c r="V7" s="3" t="str">
        <f>C7 &amp; " " &amp; B7</f>
        <v>Quintavalle Armando Ottaviano</v>
      </c>
      <c r="W7" s="50"/>
      <c r="X7" s="50"/>
    </row>
    <row r="8" spans="1:24" s="38" customFormat="1" x14ac:dyDescent="0.35">
      <c r="A8" s="39"/>
      <c r="B8" s="39"/>
      <c r="C8" s="39"/>
      <c r="D8" s="40"/>
      <c r="E8" s="48"/>
      <c r="F8" s="39"/>
      <c r="G8" s="39"/>
      <c r="H8" s="39"/>
      <c r="I8" s="36"/>
      <c r="J8" s="36"/>
      <c r="K8" s="36"/>
      <c r="L8" s="49"/>
      <c r="M8" s="36"/>
      <c r="N8" s="36"/>
      <c r="O8" s="56"/>
      <c r="P8" s="36"/>
      <c r="Q8" s="39"/>
      <c r="R8" s="39"/>
      <c r="S8" s="36"/>
      <c r="T8" s="36"/>
      <c r="U8" s="36"/>
      <c r="V8" s="39"/>
      <c r="W8" s="56"/>
      <c r="X8" s="56"/>
    </row>
    <row r="9" spans="1:24" ht="111" x14ac:dyDescent="0.35">
      <c r="A9" s="3" t="s">
        <v>39</v>
      </c>
      <c r="B9" s="3" t="s">
        <v>40</v>
      </c>
      <c r="C9" s="3" t="s">
        <v>41</v>
      </c>
      <c r="D9" s="30" t="s">
        <v>42</v>
      </c>
      <c r="E9" s="6">
        <v>1883</v>
      </c>
      <c r="F9" s="3" t="s">
        <v>43</v>
      </c>
      <c r="G9" s="3">
        <v>1957</v>
      </c>
      <c r="H9" s="3" t="s">
        <v>44</v>
      </c>
      <c r="I9" s="5" t="s">
        <v>45</v>
      </c>
      <c r="J9" s="5" t="s">
        <v>778</v>
      </c>
      <c r="K9" s="5" t="s">
        <v>782</v>
      </c>
      <c r="L9" s="5" t="s">
        <v>46</v>
      </c>
      <c r="M9" s="5" t="s">
        <v>18</v>
      </c>
      <c r="N9" s="5" t="s">
        <v>107</v>
      </c>
      <c r="O9" s="50"/>
      <c r="P9" s="5" t="s">
        <v>1257</v>
      </c>
      <c r="Q9" s="3" t="s">
        <v>1258</v>
      </c>
      <c r="R9" s="5" t="s">
        <v>1259</v>
      </c>
      <c r="S9" s="3"/>
      <c r="T9" s="3"/>
      <c r="U9" s="5"/>
      <c r="V9" s="3" t="s">
        <v>1206</v>
      </c>
      <c r="W9" s="50"/>
      <c r="X9" s="50"/>
    </row>
    <row r="10" spans="1:24" ht="111" x14ac:dyDescent="0.35">
      <c r="A10" s="3" t="s">
        <v>47</v>
      </c>
      <c r="B10" s="3" t="s">
        <v>48</v>
      </c>
      <c r="C10" s="3" t="s">
        <v>49</v>
      </c>
      <c r="D10" s="30" t="s">
        <v>50</v>
      </c>
      <c r="E10" s="6">
        <v>1891</v>
      </c>
      <c r="F10" s="3" t="s">
        <v>51</v>
      </c>
      <c r="G10" s="3">
        <v>1984</v>
      </c>
      <c r="H10" s="3" t="s">
        <v>22</v>
      </c>
      <c r="I10" s="5" t="s">
        <v>52</v>
      </c>
      <c r="J10" s="5"/>
      <c r="K10" s="5" t="s">
        <v>834</v>
      </c>
      <c r="L10" s="5" t="s">
        <v>53</v>
      </c>
      <c r="M10" s="5" t="s">
        <v>18</v>
      </c>
      <c r="N10" s="5"/>
      <c r="O10" s="50"/>
      <c r="P10" s="5"/>
      <c r="Q10" s="3"/>
      <c r="R10" s="3"/>
      <c r="S10" s="3"/>
      <c r="T10" s="3"/>
      <c r="U10" s="5"/>
      <c r="V10" s="3" t="s">
        <v>1207</v>
      </c>
      <c r="W10" s="50"/>
      <c r="X10" s="50"/>
    </row>
    <row r="11" spans="1:24" ht="129.5" x14ac:dyDescent="0.35">
      <c r="A11" s="3" t="s">
        <v>54</v>
      </c>
      <c r="B11" s="3" t="s">
        <v>55</v>
      </c>
      <c r="C11" s="3" t="s">
        <v>56</v>
      </c>
      <c r="D11" s="30" t="s">
        <v>57</v>
      </c>
      <c r="E11" s="6">
        <v>1909</v>
      </c>
      <c r="F11" s="3" t="s">
        <v>58</v>
      </c>
      <c r="G11" s="3">
        <v>1992</v>
      </c>
      <c r="H11" s="3" t="s">
        <v>22</v>
      </c>
      <c r="I11" s="5" t="s">
        <v>779</v>
      </c>
      <c r="J11" s="5" t="s">
        <v>832</v>
      </c>
      <c r="K11" s="5" t="s">
        <v>782</v>
      </c>
      <c r="L11" s="5" t="s">
        <v>59</v>
      </c>
      <c r="M11" s="5" t="s">
        <v>18</v>
      </c>
      <c r="N11" s="5"/>
      <c r="O11" s="50"/>
      <c r="P11" s="5" t="s">
        <v>1195</v>
      </c>
      <c r="Q11" s="5" t="s">
        <v>1195</v>
      </c>
      <c r="R11" s="5" t="s">
        <v>1262</v>
      </c>
      <c r="S11" s="3"/>
      <c r="T11" s="3"/>
      <c r="U11" s="5"/>
      <c r="V11" s="3" t="s">
        <v>1208</v>
      </c>
      <c r="W11" s="50"/>
      <c r="X11" s="50"/>
    </row>
    <row r="12" spans="1:24" ht="129.5" x14ac:dyDescent="0.35">
      <c r="A12" s="3" t="s">
        <v>60</v>
      </c>
      <c r="B12" s="3" t="s">
        <v>61</v>
      </c>
      <c r="C12" s="3" t="s">
        <v>62</v>
      </c>
      <c r="D12" s="32" t="s">
        <v>63</v>
      </c>
      <c r="E12" s="6">
        <v>1882</v>
      </c>
      <c r="F12" s="3" t="s">
        <v>64</v>
      </c>
      <c r="G12" s="3">
        <v>1955</v>
      </c>
      <c r="H12" s="3" t="s">
        <v>22</v>
      </c>
      <c r="I12" s="3" t="s">
        <v>65</v>
      </c>
      <c r="J12" s="3" t="s">
        <v>610</v>
      </c>
      <c r="K12" s="5" t="s">
        <v>782</v>
      </c>
      <c r="L12" s="5" t="s">
        <v>66</v>
      </c>
      <c r="M12" s="5" t="s">
        <v>8</v>
      </c>
      <c r="N12" s="5"/>
      <c r="O12" s="50"/>
      <c r="P12" s="5"/>
      <c r="Q12" s="3"/>
      <c r="R12" s="3"/>
      <c r="S12" s="3"/>
      <c r="T12" s="3"/>
      <c r="U12" s="5"/>
      <c r="V12" s="3" t="s">
        <v>1209</v>
      </c>
      <c r="W12" s="50"/>
      <c r="X12" s="50"/>
    </row>
    <row r="13" spans="1:24" ht="74" x14ac:dyDescent="0.35">
      <c r="A13" s="3" t="s">
        <v>67</v>
      </c>
      <c r="B13" s="3" t="s">
        <v>68</v>
      </c>
      <c r="C13" s="3" t="s">
        <v>69</v>
      </c>
      <c r="D13" s="30" t="s">
        <v>70</v>
      </c>
      <c r="E13" s="6">
        <v>1896</v>
      </c>
      <c r="F13" s="3" t="s">
        <v>71</v>
      </c>
      <c r="G13" s="3">
        <v>1976</v>
      </c>
      <c r="H13" s="3" t="s">
        <v>72</v>
      </c>
      <c r="I13" s="3" t="s">
        <v>783</v>
      </c>
      <c r="J13" s="3" t="s">
        <v>778</v>
      </c>
      <c r="K13" s="5" t="s">
        <v>782</v>
      </c>
      <c r="L13" s="5" t="s">
        <v>73</v>
      </c>
      <c r="M13" s="5" t="s">
        <v>29</v>
      </c>
      <c r="N13" s="5" t="s">
        <v>212</v>
      </c>
      <c r="O13" s="5" t="s">
        <v>1260</v>
      </c>
      <c r="P13" s="5"/>
      <c r="Q13" s="5" t="s">
        <v>1261</v>
      </c>
      <c r="R13" s="5" t="s">
        <v>748</v>
      </c>
      <c r="S13" s="3"/>
      <c r="T13" s="3"/>
      <c r="U13" s="5"/>
      <c r="V13" s="3" t="s">
        <v>1210</v>
      </c>
      <c r="W13" s="50"/>
      <c r="X13" s="50"/>
    </row>
    <row r="14" spans="1:24" ht="55.5" x14ac:dyDescent="0.35">
      <c r="A14" s="3" t="s">
        <v>74</v>
      </c>
      <c r="B14" s="3" t="s">
        <v>75</v>
      </c>
      <c r="C14" s="3" t="s">
        <v>76</v>
      </c>
      <c r="D14" s="30" t="s">
        <v>77</v>
      </c>
      <c r="E14" s="6">
        <v>1883</v>
      </c>
      <c r="F14" s="3" t="s">
        <v>78</v>
      </c>
      <c r="G14" s="3">
        <v>1969</v>
      </c>
      <c r="H14" s="3" t="s">
        <v>12</v>
      </c>
      <c r="I14" s="5" t="s">
        <v>79</v>
      </c>
      <c r="J14" s="3" t="s">
        <v>610</v>
      </c>
      <c r="K14" s="5" t="s">
        <v>782</v>
      </c>
      <c r="L14" s="5" t="s">
        <v>80</v>
      </c>
      <c r="M14" s="5" t="s">
        <v>988</v>
      </c>
      <c r="N14" s="5"/>
      <c r="O14" s="50"/>
      <c r="P14" s="5" t="s">
        <v>1257</v>
      </c>
      <c r="Q14" s="3" t="s">
        <v>1257</v>
      </c>
      <c r="R14" s="5" t="s">
        <v>1264</v>
      </c>
      <c r="S14" s="3"/>
      <c r="T14" s="3"/>
      <c r="U14" s="5"/>
      <c r="V14" s="3" t="s">
        <v>1211</v>
      </c>
      <c r="W14" s="50"/>
      <c r="X14" s="50"/>
    </row>
    <row r="15" spans="1:24" ht="92.5" x14ac:dyDescent="0.35">
      <c r="A15" s="3" t="s">
        <v>81</v>
      </c>
      <c r="B15" s="3" t="s">
        <v>82</v>
      </c>
      <c r="C15" s="3" t="s">
        <v>83</v>
      </c>
      <c r="D15" s="47"/>
      <c r="E15" s="4">
        <v>1913</v>
      </c>
      <c r="F15" s="3" t="s">
        <v>84</v>
      </c>
      <c r="G15" s="3">
        <v>1994</v>
      </c>
      <c r="H15" s="3" t="s">
        <v>22</v>
      </c>
      <c r="I15" s="5" t="s">
        <v>85</v>
      </c>
      <c r="J15" s="3"/>
      <c r="K15" s="5" t="s">
        <v>834</v>
      </c>
      <c r="L15" s="5" t="s">
        <v>86</v>
      </c>
      <c r="M15" s="5" t="s">
        <v>29</v>
      </c>
      <c r="N15" s="5"/>
      <c r="O15" s="50"/>
      <c r="P15" s="5"/>
      <c r="Q15" s="3"/>
      <c r="R15" s="3"/>
      <c r="S15" s="3"/>
      <c r="T15" s="3"/>
      <c r="U15" s="5"/>
      <c r="V15" s="3" t="s">
        <v>1212</v>
      </c>
      <c r="W15" s="50"/>
      <c r="X15" s="50"/>
    </row>
    <row r="16" spans="1:24" s="93" customFormat="1" ht="148" x14ac:dyDescent="0.45">
      <c r="A16" s="11" t="s">
        <v>858</v>
      </c>
      <c r="B16" s="11" t="s">
        <v>856</v>
      </c>
      <c r="C16" s="11" t="s">
        <v>982</v>
      </c>
      <c r="D16" s="32" t="s">
        <v>983</v>
      </c>
      <c r="E16" s="11">
        <v>1903</v>
      </c>
      <c r="F16" s="11" t="s">
        <v>984</v>
      </c>
      <c r="G16" s="11">
        <v>1999</v>
      </c>
      <c r="H16" s="11" t="s">
        <v>72</v>
      </c>
      <c r="I16" s="11" t="s">
        <v>857</v>
      </c>
      <c r="J16" s="11" t="s">
        <v>610</v>
      </c>
      <c r="K16" s="11" t="s">
        <v>782</v>
      </c>
      <c r="L16" s="11" t="s">
        <v>985</v>
      </c>
      <c r="M16" s="11" t="s">
        <v>93</v>
      </c>
      <c r="N16" s="5" t="s">
        <v>1216</v>
      </c>
      <c r="O16" s="5" t="s">
        <v>866</v>
      </c>
      <c r="P16" s="5" t="s">
        <v>980</v>
      </c>
      <c r="Q16" s="5" t="s">
        <v>1217</v>
      </c>
      <c r="R16" s="5" t="s">
        <v>1218</v>
      </c>
      <c r="S16" s="5"/>
      <c r="T16" s="5" t="s">
        <v>981</v>
      </c>
      <c r="U16" s="11" t="s">
        <v>987</v>
      </c>
      <c r="V16" s="3" t="s">
        <v>1213</v>
      </c>
      <c r="W16" s="11"/>
      <c r="X16" s="59"/>
    </row>
    <row r="17" spans="1:31" s="101" customFormat="1" ht="92.5" x14ac:dyDescent="0.45">
      <c r="A17" s="104" t="s">
        <v>992</v>
      </c>
      <c r="B17" s="104" t="s">
        <v>993</v>
      </c>
      <c r="C17" s="104" t="s">
        <v>994</v>
      </c>
      <c r="D17" s="105" t="s">
        <v>1010</v>
      </c>
      <c r="E17" s="104">
        <v>1881</v>
      </c>
      <c r="F17" s="104" t="s">
        <v>1012</v>
      </c>
      <c r="G17" s="104">
        <v>1954</v>
      </c>
      <c r="H17" s="104" t="s">
        <v>58</v>
      </c>
      <c r="I17" s="104" t="s">
        <v>1013</v>
      </c>
      <c r="J17" s="3" t="s">
        <v>610</v>
      </c>
      <c r="K17" s="5" t="s">
        <v>782</v>
      </c>
      <c r="L17" s="106" t="s">
        <v>1014</v>
      </c>
      <c r="M17" s="104" t="s">
        <v>1006</v>
      </c>
      <c r="N17" s="5" t="s">
        <v>1024</v>
      </c>
      <c r="O17" s="5" t="s">
        <v>1219</v>
      </c>
      <c r="P17" s="5" t="s">
        <v>1220</v>
      </c>
      <c r="Q17" s="5" t="s">
        <v>1221</v>
      </c>
      <c r="R17" s="5" t="s">
        <v>1222</v>
      </c>
      <c r="S17" s="5" t="s">
        <v>1223</v>
      </c>
      <c r="T17" s="5" t="s">
        <v>990</v>
      </c>
      <c r="U17" s="11"/>
      <c r="V17" s="3" t="s">
        <v>1214</v>
      </c>
      <c r="W17" s="104"/>
      <c r="X17" s="104"/>
    </row>
    <row r="18" spans="1:31" ht="111" x14ac:dyDescent="0.45">
      <c r="A18" s="104" t="s">
        <v>1005</v>
      </c>
      <c r="B18" s="104" t="s">
        <v>1002</v>
      </c>
      <c r="C18" s="104" t="s">
        <v>1003</v>
      </c>
      <c r="D18" s="105" t="s">
        <v>1011</v>
      </c>
      <c r="E18" s="104">
        <v>1902</v>
      </c>
      <c r="F18" s="53" t="s">
        <v>1016</v>
      </c>
      <c r="G18" s="53">
        <v>1982</v>
      </c>
      <c r="H18" s="53" t="s">
        <v>1017</v>
      </c>
      <c r="I18" s="53" t="s">
        <v>1015</v>
      </c>
      <c r="J18" s="3" t="s">
        <v>778</v>
      </c>
      <c r="K18" s="5" t="s">
        <v>782</v>
      </c>
      <c r="L18" s="5" t="s">
        <v>1018</v>
      </c>
      <c r="M18" s="104" t="s">
        <v>1006</v>
      </c>
      <c r="N18" s="5" t="s">
        <v>1024</v>
      </c>
      <c r="O18" s="5" t="s">
        <v>1219</v>
      </c>
      <c r="P18" s="5" t="s">
        <v>1220</v>
      </c>
      <c r="Q18" s="5" t="s">
        <v>1221</v>
      </c>
      <c r="R18" s="5" t="s">
        <v>1222</v>
      </c>
      <c r="S18" s="5" t="s">
        <v>1223</v>
      </c>
      <c r="T18" s="5" t="s">
        <v>990</v>
      </c>
      <c r="U18" s="5" t="s">
        <v>1090</v>
      </c>
      <c r="V18" s="3" t="s">
        <v>1215</v>
      </c>
      <c r="W18" s="53"/>
      <c r="X18" s="53"/>
      <c r="Y18" s="103"/>
      <c r="Z18" s="103"/>
      <c r="AA18" s="103"/>
      <c r="AB18" s="103"/>
      <c r="AC18" s="103"/>
      <c r="AD18" s="103"/>
      <c r="AE18" s="103"/>
    </row>
    <row r="19" spans="1:31" ht="148" x14ac:dyDescent="0.45">
      <c r="A19" s="112" t="s">
        <v>1125</v>
      </c>
      <c r="B19" s="112" t="s">
        <v>993</v>
      </c>
      <c r="C19" s="112" t="s">
        <v>1124</v>
      </c>
      <c r="D19" s="113" t="s">
        <v>1128</v>
      </c>
      <c r="E19" s="112">
        <v>1889</v>
      </c>
      <c r="F19" s="114" t="s">
        <v>1127</v>
      </c>
      <c r="G19" s="112">
        <v>1961</v>
      </c>
      <c r="H19" s="112" t="s">
        <v>297</v>
      </c>
      <c r="I19" s="114" t="s">
        <v>1126</v>
      </c>
      <c r="J19" s="112" t="s">
        <v>778</v>
      </c>
      <c r="K19" s="112" t="s">
        <v>782</v>
      </c>
      <c r="L19" s="59" t="s">
        <v>1133</v>
      </c>
      <c r="M19" s="112"/>
      <c r="N19" s="112"/>
      <c r="O19" s="50"/>
      <c r="P19" s="112" t="s">
        <v>792</v>
      </c>
      <c r="Q19" s="112" t="s">
        <v>792</v>
      </c>
      <c r="R19" s="112" t="s">
        <v>1263</v>
      </c>
      <c r="S19" s="5" t="s">
        <v>1129</v>
      </c>
      <c r="T19" s="112"/>
      <c r="U19" s="114"/>
      <c r="V19" s="112"/>
      <c r="W19" s="50"/>
      <c r="X19" s="50"/>
    </row>
    <row r="20" spans="1:31" ht="37" x14ac:dyDescent="0.45">
      <c r="A20" s="127" t="s">
        <v>1338</v>
      </c>
      <c r="B20" s="127" t="s">
        <v>1336</v>
      </c>
      <c r="C20" s="127" t="s">
        <v>1337</v>
      </c>
      <c r="D20" s="128"/>
      <c r="E20" s="127"/>
      <c r="F20" s="129"/>
      <c r="G20" s="127"/>
      <c r="H20" s="127"/>
      <c r="I20" s="129" t="s">
        <v>1339</v>
      </c>
      <c r="J20" s="127"/>
      <c r="K20" s="127" t="s">
        <v>834</v>
      </c>
      <c r="L20" s="130" t="s">
        <v>1340</v>
      </c>
      <c r="M20" s="127" t="s">
        <v>98</v>
      </c>
      <c r="N20" s="127"/>
      <c r="O20" s="131" t="s">
        <v>1101</v>
      </c>
      <c r="P20" s="127"/>
      <c r="Q20" s="131" t="s">
        <v>1101</v>
      </c>
      <c r="R20" s="131" t="s">
        <v>1317</v>
      </c>
      <c r="S20" s="5" t="s">
        <v>1252</v>
      </c>
      <c r="T20" s="127"/>
      <c r="U20" s="129"/>
      <c r="V20" s="127" t="s">
        <v>1342</v>
      </c>
      <c r="W20" s="92"/>
      <c r="X20" s="92"/>
    </row>
    <row r="21" spans="1:31" s="38" customFormat="1" x14ac:dyDescent="0.35">
      <c r="A21" s="109"/>
      <c r="B21" s="109"/>
      <c r="C21" s="109"/>
      <c r="D21" s="110"/>
      <c r="E21" s="111"/>
      <c r="F21" s="109"/>
      <c r="G21" s="109"/>
      <c r="H21" s="109"/>
      <c r="I21" s="109"/>
      <c r="J21" s="109"/>
      <c r="K21" s="109"/>
      <c r="L21" s="78"/>
      <c r="M21" s="78"/>
      <c r="N21" s="78"/>
      <c r="P21" s="78"/>
      <c r="Q21" s="109"/>
      <c r="R21" s="109"/>
      <c r="S21" s="109"/>
      <c r="T21" s="109"/>
      <c r="U21" s="78"/>
      <c r="V21" s="109"/>
      <c r="W21" s="81"/>
      <c r="X21" s="81"/>
    </row>
    <row r="22" spans="1:31" x14ac:dyDescent="0.35">
      <c r="A22" s="65"/>
      <c r="B22" s="65"/>
      <c r="C22" s="65"/>
      <c r="D22" s="66"/>
      <c r="E22" s="67"/>
      <c r="F22" s="65"/>
      <c r="G22" s="65"/>
      <c r="H22" s="65"/>
      <c r="I22" s="13"/>
      <c r="J22" s="13"/>
      <c r="K22" s="13"/>
      <c r="L22" s="13"/>
      <c r="M22" s="13"/>
      <c r="N22" s="13"/>
      <c r="P22" s="13"/>
      <c r="Q22" s="13"/>
      <c r="R22" s="13"/>
      <c r="S22" s="13"/>
      <c r="T22" s="13"/>
      <c r="V22" s="65"/>
    </row>
    <row r="23" spans="1:31" x14ac:dyDescent="0.35">
      <c r="A23" s="65"/>
      <c r="B23" s="65"/>
      <c r="C23" s="65"/>
      <c r="D23" s="68"/>
      <c r="E23" s="67"/>
      <c r="F23" s="65"/>
      <c r="G23" s="65"/>
      <c r="H23" s="65"/>
      <c r="I23" s="13"/>
      <c r="J23" s="13"/>
      <c r="K23" s="13"/>
      <c r="L23" s="69"/>
      <c r="M23" s="13"/>
      <c r="N23" s="13"/>
      <c r="P23" s="13"/>
      <c r="Q23" s="13"/>
      <c r="R23" s="13"/>
      <c r="S23" s="13"/>
      <c r="T23" s="13"/>
      <c r="V23" s="65"/>
    </row>
    <row r="24" spans="1:31" x14ac:dyDescent="0.35">
      <c r="A24" s="65"/>
      <c r="B24" s="65"/>
      <c r="C24" s="65"/>
      <c r="D24" s="68"/>
      <c r="E24" s="70"/>
      <c r="F24" s="65"/>
      <c r="G24" s="65"/>
      <c r="H24" s="65"/>
      <c r="I24" s="65"/>
      <c r="J24" s="65"/>
      <c r="K24" s="65"/>
      <c r="L24" s="13"/>
      <c r="M24" s="13"/>
      <c r="N24" s="13"/>
      <c r="P24" s="13"/>
      <c r="Q24" s="65"/>
      <c r="R24" s="65"/>
      <c r="S24" s="65"/>
      <c r="T24" s="65"/>
      <c r="V24" s="65"/>
    </row>
    <row r="26" spans="1:31" x14ac:dyDescent="0.35">
      <c r="L26" s="13"/>
      <c r="M26" s="13"/>
      <c r="N26" s="13"/>
      <c r="P26" s="13"/>
      <c r="Q26" s="13"/>
      <c r="R26" s="13"/>
      <c r="S26" s="13"/>
      <c r="T26" s="13"/>
      <c r="W26" s="13"/>
      <c r="X26" s="13"/>
      <c r="Y26" s="13"/>
      <c r="Z26" s="13"/>
      <c r="AA26" s="13"/>
      <c r="AB26" s="13"/>
      <c r="AC26" s="13"/>
      <c r="AD26" s="13"/>
    </row>
    <row r="27" spans="1:31" x14ac:dyDescent="0.35">
      <c r="L27" s="13"/>
      <c r="M27" s="13"/>
      <c r="N27" s="13"/>
      <c r="P27" s="13"/>
      <c r="Q27" s="13"/>
      <c r="R27" s="13"/>
      <c r="S27" s="13"/>
      <c r="T27" s="13"/>
      <c r="W27" s="13"/>
      <c r="X27" s="13"/>
      <c r="Y27" s="13"/>
      <c r="Z27" s="13"/>
      <c r="AA27" s="13"/>
      <c r="AB27" s="13"/>
      <c r="AC27" s="13"/>
      <c r="AD27" s="13"/>
    </row>
    <row r="28" spans="1:31" x14ac:dyDescent="0.35">
      <c r="L28" s="13"/>
      <c r="M28" s="13"/>
      <c r="N28" s="13"/>
      <c r="P28" s="13"/>
      <c r="Q28" s="13"/>
      <c r="R28" s="13"/>
      <c r="S28" s="13"/>
      <c r="T28" s="13"/>
      <c r="W28" s="13"/>
      <c r="X28" s="13"/>
      <c r="Y28" s="13"/>
      <c r="Z28" s="13"/>
      <c r="AA28" s="13"/>
      <c r="AB28" s="13"/>
      <c r="AC28" s="13"/>
      <c r="AD28" s="13"/>
    </row>
    <row r="29" spans="1:31" x14ac:dyDescent="0.35">
      <c r="L29" s="13"/>
      <c r="M29" s="13"/>
      <c r="N29" s="13"/>
      <c r="P29" s="13"/>
      <c r="Q29" s="13"/>
      <c r="R29" s="13"/>
      <c r="S29" s="13"/>
      <c r="T29" s="13"/>
      <c r="W29" s="13"/>
      <c r="X29" s="13"/>
      <c r="Y29" s="13"/>
      <c r="Z29" s="13"/>
      <c r="AA29" s="13"/>
      <c r="AB29" s="13"/>
      <c r="AC29" s="13"/>
      <c r="AD29" s="13"/>
    </row>
    <row r="30" spans="1:31" x14ac:dyDescent="0.35">
      <c r="L30" s="13"/>
      <c r="M30" s="13"/>
      <c r="N30" s="13"/>
      <c r="P30" s="13"/>
      <c r="Q30" s="13"/>
      <c r="R30" s="13"/>
      <c r="S30" s="13"/>
      <c r="T30" s="13"/>
      <c r="W30" s="13"/>
      <c r="X30" s="13"/>
      <c r="Y30" s="13"/>
      <c r="Z30" s="13"/>
      <c r="AA30" s="13"/>
      <c r="AB30" s="13"/>
      <c r="AC30" s="13"/>
      <c r="AD30" s="13"/>
    </row>
    <row r="31" spans="1:31" x14ac:dyDescent="0.35">
      <c r="L31" s="13"/>
      <c r="M31" s="13"/>
      <c r="N31" s="13"/>
      <c r="P31" s="13"/>
      <c r="Q31" s="13"/>
      <c r="R31" s="13"/>
      <c r="S31" s="13"/>
      <c r="T31" s="13"/>
      <c r="W31" s="13"/>
      <c r="X31" s="13"/>
      <c r="Y31" s="13"/>
      <c r="Z31" s="13"/>
      <c r="AA31" s="13"/>
      <c r="AB31" s="13"/>
      <c r="AC31" s="13"/>
      <c r="AD31" s="13"/>
    </row>
    <row r="32" spans="1:31" x14ac:dyDescent="0.35">
      <c r="L32" s="13"/>
      <c r="M32" s="13"/>
      <c r="N32" s="13"/>
      <c r="P32" s="13"/>
      <c r="Q32" s="13"/>
      <c r="R32" s="13"/>
      <c r="S32" s="13"/>
      <c r="T32" s="13"/>
      <c r="W32" s="13"/>
      <c r="X32" s="13"/>
      <c r="Y32" s="13"/>
      <c r="Z32" s="13"/>
      <c r="AA32" s="13"/>
      <c r="AB32" s="13"/>
      <c r="AC32" s="13"/>
      <c r="AD32" s="13"/>
    </row>
    <row r="33" spans="12:30" x14ac:dyDescent="0.35">
      <c r="L33" s="13"/>
      <c r="M33" s="13"/>
      <c r="N33" s="13"/>
      <c r="P33" s="13"/>
      <c r="Q33" s="13"/>
      <c r="R33" s="13"/>
      <c r="S33" s="13"/>
      <c r="T33" s="13"/>
      <c r="W33" s="13"/>
      <c r="X33" s="13"/>
      <c r="Y33" s="13"/>
      <c r="Z33" s="13"/>
      <c r="AA33" s="13"/>
      <c r="AB33" s="13"/>
      <c r="AC33" s="13"/>
      <c r="AD33" s="13"/>
    </row>
    <row r="34" spans="12:30" x14ac:dyDescent="0.35">
      <c r="L34" s="13"/>
      <c r="M34" s="13"/>
      <c r="N34" s="13"/>
      <c r="P34" s="13"/>
      <c r="Q34" s="13"/>
      <c r="R34" s="13"/>
      <c r="S34" s="13"/>
      <c r="T34" s="13"/>
      <c r="W34" s="13"/>
      <c r="X34" s="13"/>
      <c r="Y34" s="13"/>
      <c r="Z34" s="13"/>
      <c r="AA34" s="13"/>
      <c r="AB34" s="13"/>
      <c r="AC34" s="13"/>
      <c r="AD34" s="13"/>
    </row>
    <row r="35" spans="12:30" x14ac:dyDescent="0.35">
      <c r="L35" s="13"/>
      <c r="M35" s="13"/>
      <c r="N35" s="13"/>
      <c r="P35" s="13"/>
      <c r="Q35" s="13"/>
      <c r="R35" s="13"/>
      <c r="S35" s="13"/>
      <c r="T35" s="13"/>
      <c r="W35" s="13"/>
      <c r="X35" s="13"/>
      <c r="Y35" s="13"/>
      <c r="Z35" s="13"/>
      <c r="AA35" s="13"/>
      <c r="AB35" s="13"/>
      <c r="AC35" s="13"/>
      <c r="AD35" s="13"/>
    </row>
    <row r="36" spans="12:30" x14ac:dyDescent="0.35">
      <c r="L36" s="13"/>
      <c r="M36" s="13"/>
      <c r="N36" s="13"/>
      <c r="P36" s="13"/>
      <c r="Q36" s="13"/>
      <c r="R36" s="13"/>
      <c r="S36" s="13"/>
      <c r="T36" s="13"/>
      <c r="W36" s="13"/>
      <c r="X36" s="13"/>
      <c r="Y36" s="13"/>
      <c r="Z36" s="13"/>
      <c r="AA36" s="13"/>
      <c r="AB36" s="13"/>
      <c r="AC36" s="13"/>
      <c r="AD36" s="13"/>
    </row>
    <row r="37" spans="12:30" x14ac:dyDescent="0.35">
      <c r="L37" s="13"/>
      <c r="M37" s="13"/>
      <c r="N37" s="13"/>
      <c r="P37" s="13"/>
      <c r="Q37" s="13"/>
      <c r="R37" s="13"/>
      <c r="S37" s="13"/>
      <c r="T37" s="13"/>
      <c r="W37" s="13"/>
      <c r="X37" s="13"/>
      <c r="Y37" s="13"/>
      <c r="Z37" s="13"/>
      <c r="AA37" s="13"/>
      <c r="AB37" s="13"/>
      <c r="AC37" s="13"/>
      <c r="AD37" s="13"/>
    </row>
    <row r="38" spans="12:30" x14ac:dyDescent="0.35">
      <c r="L38" s="13"/>
      <c r="M38" s="13"/>
      <c r="N38" s="13"/>
      <c r="P38" s="13"/>
      <c r="Q38" s="13"/>
      <c r="R38" s="13"/>
      <c r="S38" s="13"/>
      <c r="T38" s="13"/>
      <c r="W38" s="13"/>
      <c r="X38" s="13"/>
      <c r="Y38" s="13"/>
      <c r="Z38" s="13"/>
      <c r="AA38" s="13"/>
      <c r="AB38" s="13"/>
      <c r="AC38" s="13"/>
      <c r="AD38" s="13"/>
    </row>
    <row r="39" spans="12:30" x14ac:dyDescent="0.35">
      <c r="L39" s="13"/>
      <c r="M39" s="13"/>
      <c r="N39" s="13"/>
      <c r="P39" s="13"/>
      <c r="Q39" s="13"/>
      <c r="R39" s="13"/>
      <c r="S39" s="13"/>
      <c r="T39" s="13"/>
      <c r="W39" s="13"/>
      <c r="X39" s="13"/>
      <c r="Y39" s="13"/>
      <c r="Z39" s="13"/>
      <c r="AA39" s="13"/>
      <c r="AB39" s="13"/>
      <c r="AC39" s="13"/>
      <c r="AD39" s="13"/>
    </row>
    <row r="40" spans="12:30" x14ac:dyDescent="0.35">
      <c r="L40" s="13"/>
      <c r="M40" s="13"/>
      <c r="N40" s="13"/>
      <c r="P40" s="13"/>
      <c r="Q40" s="13"/>
      <c r="R40" s="13"/>
      <c r="S40" s="13"/>
      <c r="T40" s="13"/>
      <c r="W40" s="13"/>
      <c r="X40" s="13"/>
      <c r="Y40" s="13"/>
      <c r="Z40" s="13"/>
      <c r="AA40" s="13"/>
      <c r="AB40" s="13"/>
      <c r="AC40" s="13"/>
      <c r="AD40" s="13"/>
    </row>
    <row r="41" spans="12:30" x14ac:dyDescent="0.35">
      <c r="L41" s="13"/>
      <c r="M41" s="13"/>
      <c r="N41" s="13"/>
      <c r="P41" s="13"/>
      <c r="Q41" s="13"/>
      <c r="R41" s="13"/>
      <c r="S41" s="13"/>
      <c r="T41" s="13"/>
      <c r="W41" s="13"/>
      <c r="X41" s="13"/>
      <c r="Y41" s="13"/>
      <c r="Z41" s="13"/>
      <c r="AA41" s="13"/>
      <c r="AB41" s="13"/>
      <c r="AC41" s="13"/>
      <c r="AD41" s="13"/>
    </row>
  </sheetData>
  <hyperlinks>
    <hyperlink ref="D2" r:id="rId1" xr:uid="{E0D2CC5A-A118-447B-BE3D-C4FF976E36B2}"/>
    <hyperlink ref="D4" r:id="rId2" xr:uid="{4C44B5DD-2CD2-4F9D-A09D-A3892CC12B41}"/>
    <hyperlink ref="D3" r:id="rId3" xr:uid="{24775E29-D448-44BE-88D7-FE43B2A86F89}"/>
    <hyperlink ref="D6" r:id="rId4" xr:uid="{C18357F0-F4CB-45E6-B5B8-E4D103A5D0E0}"/>
    <hyperlink ref="D5" r:id="rId5" xr:uid="{5FA49714-91CC-4B6E-BCC3-4827BF832786}"/>
    <hyperlink ref="D7" r:id="rId6" xr:uid="{2F92101E-346B-4F2D-8E8C-50F2CDEDE0C1}"/>
    <hyperlink ref="D9" r:id="rId7" xr:uid="{52702465-7523-42F2-B6F5-0A4D901D1BB7}"/>
    <hyperlink ref="D10" r:id="rId8" xr:uid="{BB42B020-AF91-4F93-A4A6-3980FC2724C9}"/>
    <hyperlink ref="D11" r:id="rId9" xr:uid="{320274DC-DE31-4224-9731-81ECBFE1EF74}"/>
    <hyperlink ref="D12" r:id="rId10" xr:uid="{9C79466A-FFA2-487C-B9BC-F0705830E4A7}"/>
    <hyperlink ref="D13" r:id="rId11" xr:uid="{035E7629-5ACA-4009-A4D0-6C367681CB7E}"/>
    <hyperlink ref="D14" r:id="rId12" xr:uid="{10B67F7A-590C-4F17-953A-178A8CA6CA85}"/>
    <hyperlink ref="D16" r:id="rId13" xr:uid="{8EE99635-DB5B-435E-819B-5CEDC4E6CD69}"/>
    <hyperlink ref="D17" r:id="rId14" xr:uid="{85FEB613-4E12-48F5-8F7F-B0B1781F6211}"/>
    <hyperlink ref="D18" r:id="rId15" xr:uid="{4A7D83F4-F6E2-465C-9B46-499B628A95CE}"/>
    <hyperlink ref="D19" r:id="rId16" xr:uid="{97C4E897-4B65-4A91-A895-9DED3948D194}"/>
  </hyperlinks>
  <pageMargins left="0.7" right="0.7" top="0.75" bottom="0.75" header="0.3" footer="0.3"/>
  <pageSetup paperSize="9"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B9A17-CC5F-4A24-96F8-3E6565EA2D05}">
  <dimension ref="A1:S73"/>
  <sheetViews>
    <sheetView zoomScale="70" zoomScaleNormal="70" workbookViewId="0">
      <pane ySplit="1" topLeftCell="A2" activePane="bottomLeft" state="frozen"/>
      <selection pane="bottomLeft" activeCell="J2" sqref="J2"/>
    </sheetView>
  </sheetViews>
  <sheetFormatPr defaultRowHeight="18.5" x14ac:dyDescent="0.35"/>
  <cols>
    <col min="1" max="1" width="34" style="13" customWidth="1"/>
    <col min="2" max="3" width="27.54296875" style="13" customWidth="1"/>
    <col min="4" max="4" width="20.54296875" style="12" customWidth="1"/>
    <col min="5" max="5" width="48.7265625" style="13" customWidth="1"/>
    <col min="6" max="9" width="20.54296875" style="13" customWidth="1"/>
    <col min="10" max="10" width="36.08984375" style="13" customWidth="1"/>
    <col min="11" max="11" width="34.36328125" style="13" customWidth="1"/>
    <col min="12" max="12" width="35.7265625" style="13" customWidth="1"/>
    <col min="13" max="13" width="33.7265625" style="13" customWidth="1"/>
    <col min="14" max="14" width="28.453125" customWidth="1"/>
  </cols>
  <sheetData>
    <row r="1" spans="1:19" x14ac:dyDescent="0.45">
      <c r="A1" s="9" t="s">
        <v>635</v>
      </c>
      <c r="B1" s="9" t="s">
        <v>641</v>
      </c>
      <c r="C1" s="9" t="s">
        <v>835</v>
      </c>
      <c r="D1" s="14" t="s">
        <v>642</v>
      </c>
      <c r="E1" s="9" t="s">
        <v>646</v>
      </c>
      <c r="F1" s="9" t="s">
        <v>2</v>
      </c>
      <c r="G1" s="9" t="s">
        <v>724</v>
      </c>
      <c r="H1" s="57" t="s">
        <v>725</v>
      </c>
      <c r="I1" s="2" t="s">
        <v>636</v>
      </c>
      <c r="J1" s="2" t="s">
        <v>785</v>
      </c>
      <c r="K1" s="2" t="s">
        <v>784</v>
      </c>
      <c r="L1" s="2" t="s">
        <v>789</v>
      </c>
      <c r="M1" s="9" t="s">
        <v>638</v>
      </c>
      <c r="N1" s="9" t="s">
        <v>721</v>
      </c>
    </row>
    <row r="2" spans="1:19" ht="74" x14ac:dyDescent="0.35">
      <c r="A2" s="5" t="s">
        <v>107</v>
      </c>
      <c r="B2" s="10" t="s">
        <v>108</v>
      </c>
      <c r="C2" s="11" t="s">
        <v>109</v>
      </c>
      <c r="D2" s="17" t="s">
        <v>769</v>
      </c>
      <c r="E2" s="5" t="s">
        <v>799</v>
      </c>
      <c r="F2" s="15" t="s">
        <v>110</v>
      </c>
      <c r="G2" s="5">
        <v>1809</v>
      </c>
      <c r="H2" s="5"/>
      <c r="I2" s="5" t="s">
        <v>8</v>
      </c>
      <c r="J2" s="5"/>
      <c r="K2" s="5" t="s">
        <v>788</v>
      </c>
      <c r="L2" s="5" t="s">
        <v>1194</v>
      </c>
      <c r="M2" s="5" t="s">
        <v>703</v>
      </c>
      <c r="N2" s="5"/>
      <c r="O2" s="13"/>
      <c r="P2" s="13"/>
      <c r="Q2" s="13"/>
      <c r="R2" s="13"/>
      <c r="S2" s="13"/>
    </row>
    <row r="3" spans="1:19" ht="55.5" x14ac:dyDescent="0.35">
      <c r="A3" s="5" t="s">
        <v>111</v>
      </c>
      <c r="B3" s="5" t="s">
        <v>112</v>
      </c>
      <c r="C3" s="11" t="s">
        <v>109</v>
      </c>
      <c r="D3" s="17" t="s">
        <v>769</v>
      </c>
      <c r="E3" s="5" t="s">
        <v>800</v>
      </c>
      <c r="F3" s="15" t="s">
        <v>113</v>
      </c>
      <c r="G3" s="5">
        <v>1881</v>
      </c>
      <c r="H3" s="5"/>
      <c r="I3" s="5" t="s">
        <v>8</v>
      </c>
      <c r="J3" s="5"/>
      <c r="K3" s="5" t="s">
        <v>788</v>
      </c>
      <c r="L3" s="5"/>
      <c r="M3" s="5" t="s">
        <v>704</v>
      </c>
      <c r="N3" s="50"/>
      <c r="O3" s="13"/>
      <c r="P3" s="13"/>
      <c r="Q3" s="13"/>
      <c r="R3" s="13"/>
      <c r="S3" s="13"/>
    </row>
    <row r="4" spans="1:19" ht="55.5" x14ac:dyDescent="0.35">
      <c r="A4" s="5" t="s">
        <v>1293</v>
      </c>
      <c r="B4" s="5" t="s">
        <v>114</v>
      </c>
      <c r="C4" s="11" t="s">
        <v>109</v>
      </c>
      <c r="D4" s="17" t="s">
        <v>769</v>
      </c>
      <c r="E4" s="5" t="s">
        <v>800</v>
      </c>
      <c r="F4" s="15" t="s">
        <v>115</v>
      </c>
      <c r="G4" s="5">
        <v>1607</v>
      </c>
      <c r="H4" s="5"/>
      <c r="I4" s="5" t="s">
        <v>8</v>
      </c>
      <c r="K4" s="5" t="s">
        <v>788</v>
      </c>
      <c r="L4" s="5"/>
      <c r="M4" s="5" t="s">
        <v>1295</v>
      </c>
      <c r="N4" s="50"/>
      <c r="O4" s="13"/>
      <c r="P4" s="13"/>
      <c r="Q4" s="13"/>
      <c r="R4" s="13"/>
      <c r="S4" s="13"/>
    </row>
    <row r="5" spans="1:19" ht="74" x14ac:dyDescent="0.35">
      <c r="A5" s="5" t="s">
        <v>116</v>
      </c>
      <c r="B5" s="5" t="s">
        <v>117</v>
      </c>
      <c r="C5" s="11" t="s">
        <v>118</v>
      </c>
      <c r="D5" s="17" t="s">
        <v>626</v>
      </c>
      <c r="E5" s="5" t="s">
        <v>836</v>
      </c>
      <c r="F5" s="15" t="s">
        <v>119</v>
      </c>
      <c r="G5" s="5">
        <v>1360</v>
      </c>
      <c r="H5" s="5"/>
      <c r="I5" s="5" t="s">
        <v>8</v>
      </c>
      <c r="J5" s="5" t="s">
        <v>1299</v>
      </c>
      <c r="L5" s="5"/>
      <c r="M5" s="5" t="s">
        <v>705</v>
      </c>
      <c r="N5" s="50"/>
      <c r="O5" s="13"/>
      <c r="P5" s="13"/>
      <c r="Q5" s="13"/>
      <c r="R5" s="13"/>
      <c r="S5" s="13"/>
    </row>
    <row r="6" spans="1:19" ht="55.5" x14ac:dyDescent="0.35">
      <c r="A6" s="5" t="s">
        <v>120</v>
      </c>
      <c r="B6" s="5" t="s">
        <v>121</v>
      </c>
      <c r="C6" s="11" t="s">
        <v>109</v>
      </c>
      <c r="D6" s="17" t="s">
        <v>769</v>
      </c>
      <c r="E6" s="5" t="s">
        <v>800</v>
      </c>
      <c r="F6" s="15" t="s">
        <v>122</v>
      </c>
      <c r="G6" s="5">
        <v>1456</v>
      </c>
      <c r="H6" s="5"/>
      <c r="I6" s="5" t="s">
        <v>8</v>
      </c>
      <c r="J6" s="5"/>
      <c r="K6" s="5" t="s">
        <v>788</v>
      </c>
      <c r="L6" s="5"/>
      <c r="M6" s="5" t="s">
        <v>706</v>
      </c>
      <c r="N6" s="50"/>
      <c r="O6" s="13"/>
      <c r="P6" s="13"/>
      <c r="Q6" s="13"/>
      <c r="R6" s="13"/>
      <c r="S6" s="13"/>
    </row>
    <row r="7" spans="1:19" ht="55.5" x14ac:dyDescent="0.35">
      <c r="A7" s="5" t="s">
        <v>123</v>
      </c>
      <c r="B7" s="5" t="s">
        <v>124</v>
      </c>
      <c r="C7" s="11" t="s">
        <v>109</v>
      </c>
      <c r="D7" s="17" t="s">
        <v>769</v>
      </c>
      <c r="E7" s="5" t="s">
        <v>800</v>
      </c>
      <c r="F7" s="15" t="s">
        <v>125</v>
      </c>
      <c r="G7" s="5">
        <v>1913</v>
      </c>
      <c r="H7" s="5"/>
      <c r="I7" s="5" t="s">
        <v>8</v>
      </c>
      <c r="J7" s="5"/>
      <c r="K7" s="5" t="s">
        <v>788</v>
      </c>
      <c r="L7" s="5"/>
      <c r="M7" s="5" t="s">
        <v>707</v>
      </c>
      <c r="N7" s="50"/>
      <c r="O7" s="13"/>
      <c r="P7" s="13"/>
      <c r="Q7" s="13"/>
      <c r="R7" s="13"/>
      <c r="S7" s="13"/>
    </row>
    <row r="8" spans="1:19" ht="55.5" x14ac:dyDescent="0.35">
      <c r="A8" s="5" t="s">
        <v>126</v>
      </c>
      <c r="B8" s="5" t="s">
        <v>127</v>
      </c>
      <c r="C8" s="11" t="s">
        <v>109</v>
      </c>
      <c r="D8" s="17" t="s">
        <v>769</v>
      </c>
      <c r="E8" s="5" t="s">
        <v>800</v>
      </c>
      <c r="F8" s="15" t="s">
        <v>128</v>
      </c>
      <c r="G8" s="5">
        <v>1796</v>
      </c>
      <c r="H8" s="5"/>
      <c r="I8" s="5" t="s">
        <v>8</v>
      </c>
      <c r="J8" s="5"/>
      <c r="K8" s="5" t="s">
        <v>788</v>
      </c>
      <c r="L8" s="5"/>
      <c r="M8" s="5" t="s">
        <v>708</v>
      </c>
      <c r="N8" s="50"/>
      <c r="O8" s="13"/>
      <c r="P8" s="13"/>
      <c r="Q8" s="13"/>
      <c r="R8" s="13"/>
      <c r="S8" s="13"/>
    </row>
    <row r="9" spans="1:19" ht="55.5" x14ac:dyDescent="0.35">
      <c r="A9" s="5" t="s">
        <v>129</v>
      </c>
      <c r="B9" s="5" t="s">
        <v>130</v>
      </c>
      <c r="C9" s="11" t="s">
        <v>109</v>
      </c>
      <c r="D9" s="17" t="s">
        <v>769</v>
      </c>
      <c r="E9" s="5" t="s">
        <v>800</v>
      </c>
      <c r="F9" s="15" t="s">
        <v>131</v>
      </c>
      <c r="G9" s="5">
        <v>1851</v>
      </c>
      <c r="H9" s="5"/>
      <c r="I9" s="5" t="s">
        <v>8</v>
      </c>
      <c r="J9" s="5"/>
      <c r="K9" s="5" t="s">
        <v>788</v>
      </c>
      <c r="L9" s="5"/>
      <c r="M9" s="5" t="s">
        <v>709</v>
      </c>
      <c r="N9" s="50"/>
      <c r="O9" s="13"/>
      <c r="P9" s="13"/>
      <c r="Q9" s="13"/>
      <c r="R9" s="13"/>
      <c r="S9" s="13"/>
    </row>
    <row r="10" spans="1:19" ht="74" x14ac:dyDescent="0.35">
      <c r="A10" s="5" t="s">
        <v>132</v>
      </c>
      <c r="B10" s="5" t="s">
        <v>133</v>
      </c>
      <c r="C10" s="11" t="s">
        <v>796</v>
      </c>
      <c r="D10" s="16" t="s">
        <v>626</v>
      </c>
      <c r="E10" s="13" t="s">
        <v>806</v>
      </c>
      <c r="F10" s="45"/>
      <c r="G10" s="7"/>
      <c r="H10" s="5"/>
      <c r="I10" s="5" t="s">
        <v>478</v>
      </c>
      <c r="J10" s="5" t="s">
        <v>1299</v>
      </c>
      <c r="K10" s="5"/>
      <c r="L10" s="5"/>
      <c r="M10" s="5" t="s">
        <v>710</v>
      </c>
      <c r="N10" s="50"/>
    </row>
    <row r="11" spans="1:19" ht="74" x14ac:dyDescent="0.35">
      <c r="A11" s="5" t="s">
        <v>134</v>
      </c>
      <c r="B11" s="5" t="s">
        <v>135</v>
      </c>
      <c r="C11" s="11" t="s">
        <v>798</v>
      </c>
      <c r="D11" s="16" t="s">
        <v>626</v>
      </c>
      <c r="E11" s="5" t="s">
        <v>802</v>
      </c>
      <c r="F11" s="15" t="s">
        <v>136</v>
      </c>
      <c r="G11" s="5">
        <v>1816</v>
      </c>
      <c r="H11" s="5"/>
      <c r="I11" s="5" t="s">
        <v>8</v>
      </c>
      <c r="J11" s="5" t="s">
        <v>1299</v>
      </c>
      <c r="K11" s="5"/>
      <c r="L11" s="5"/>
      <c r="M11" s="5" t="s">
        <v>711</v>
      </c>
      <c r="N11" s="50"/>
    </row>
    <row r="12" spans="1:19" ht="74" x14ac:dyDescent="0.35">
      <c r="A12" s="5" t="s">
        <v>137</v>
      </c>
      <c r="B12" s="5" t="s">
        <v>138</v>
      </c>
      <c r="C12" s="11" t="s">
        <v>796</v>
      </c>
      <c r="D12" s="16" t="s">
        <v>626</v>
      </c>
      <c r="E12" s="5" t="s">
        <v>805</v>
      </c>
      <c r="F12" s="45" t="s">
        <v>139</v>
      </c>
      <c r="G12" s="5">
        <v>1706</v>
      </c>
      <c r="H12" s="5"/>
      <c r="I12" s="5" t="s">
        <v>8</v>
      </c>
      <c r="J12" s="5" t="s">
        <v>1299</v>
      </c>
      <c r="K12" s="5"/>
      <c r="L12" s="5"/>
      <c r="M12" s="5" t="s">
        <v>702</v>
      </c>
      <c r="N12" s="50"/>
    </row>
    <row r="13" spans="1:19" ht="101.5" x14ac:dyDescent="0.35">
      <c r="A13" s="5" t="s">
        <v>140</v>
      </c>
      <c r="B13" s="5" t="s">
        <v>141</v>
      </c>
      <c r="C13" s="11" t="s">
        <v>796</v>
      </c>
      <c r="D13" s="16" t="s">
        <v>626</v>
      </c>
      <c r="E13" s="13" t="s">
        <v>804</v>
      </c>
      <c r="F13" s="45" t="s">
        <v>142</v>
      </c>
      <c r="G13" s="5">
        <v>1669</v>
      </c>
      <c r="H13" s="5"/>
      <c r="I13" s="5" t="s">
        <v>8</v>
      </c>
      <c r="J13" s="5" t="s">
        <v>1299</v>
      </c>
      <c r="K13" s="5"/>
      <c r="L13" s="5" t="s">
        <v>763</v>
      </c>
      <c r="M13" s="5" t="s">
        <v>712</v>
      </c>
      <c r="N13" s="50"/>
    </row>
    <row r="14" spans="1:19" ht="74" x14ac:dyDescent="0.35">
      <c r="A14" s="5" t="s">
        <v>143</v>
      </c>
      <c r="B14" s="5" t="s">
        <v>144</v>
      </c>
      <c r="C14" s="11" t="s">
        <v>797</v>
      </c>
      <c r="D14" s="16" t="s">
        <v>655</v>
      </c>
      <c r="E14" s="5" t="s">
        <v>803</v>
      </c>
      <c r="F14" s="15" t="s">
        <v>146</v>
      </c>
      <c r="G14" s="5">
        <v>1861</v>
      </c>
      <c r="H14" s="5"/>
      <c r="I14" s="5" t="s">
        <v>8</v>
      </c>
      <c r="J14" s="5"/>
      <c r="K14" s="5"/>
      <c r="L14" s="5"/>
      <c r="M14" s="5" t="s">
        <v>713</v>
      </c>
      <c r="N14" s="50"/>
    </row>
    <row r="15" spans="1:19" ht="55.5" x14ac:dyDescent="0.35">
      <c r="A15" s="5" t="s">
        <v>147</v>
      </c>
      <c r="B15" s="5" t="s">
        <v>148</v>
      </c>
      <c r="C15" s="11" t="s">
        <v>149</v>
      </c>
      <c r="D15" s="5" t="s">
        <v>769</v>
      </c>
      <c r="E15" s="5" t="s">
        <v>151</v>
      </c>
      <c r="F15" s="15" t="s">
        <v>150</v>
      </c>
      <c r="G15" s="5">
        <v>1483</v>
      </c>
      <c r="H15" s="5"/>
      <c r="I15" s="5"/>
      <c r="J15" s="5"/>
      <c r="K15" s="5"/>
      <c r="L15" s="5"/>
      <c r="M15" s="5" t="s">
        <v>714</v>
      </c>
      <c r="N15" s="50"/>
    </row>
    <row r="16" spans="1:19" ht="55.5" x14ac:dyDescent="0.35">
      <c r="A16" s="5" t="s">
        <v>152</v>
      </c>
      <c r="B16" s="5" t="s">
        <v>153</v>
      </c>
      <c r="C16" s="11" t="s">
        <v>154</v>
      </c>
      <c r="D16" s="5" t="s">
        <v>655</v>
      </c>
      <c r="E16" s="5" t="s">
        <v>157</v>
      </c>
      <c r="F16" s="15" t="s">
        <v>155</v>
      </c>
      <c r="G16" s="23">
        <v>15972</v>
      </c>
      <c r="H16" s="23">
        <v>16552</v>
      </c>
      <c r="I16" s="5"/>
      <c r="J16" s="5"/>
      <c r="K16" s="5"/>
      <c r="L16" s="5" t="s">
        <v>235</v>
      </c>
      <c r="M16" s="5" t="s">
        <v>495</v>
      </c>
      <c r="N16" s="50"/>
    </row>
    <row r="17" spans="1:14" ht="92.5" x14ac:dyDescent="0.35">
      <c r="A17" s="5" t="s">
        <v>158</v>
      </c>
      <c r="B17" s="5" t="s">
        <v>159</v>
      </c>
      <c r="C17" s="11" t="s">
        <v>145</v>
      </c>
      <c r="D17" s="5" t="s">
        <v>655</v>
      </c>
      <c r="E17" s="5" t="s">
        <v>162</v>
      </c>
      <c r="F17" s="15" t="s">
        <v>160</v>
      </c>
      <c r="G17" s="5">
        <v>1907</v>
      </c>
      <c r="H17" s="5"/>
      <c r="I17" s="5" t="s">
        <v>718</v>
      </c>
      <c r="J17" s="5"/>
      <c r="K17" s="5"/>
      <c r="L17" s="5" t="s">
        <v>1195</v>
      </c>
      <c r="M17" s="5" t="s">
        <v>715</v>
      </c>
      <c r="N17" s="50"/>
    </row>
    <row r="18" spans="1:14" ht="74" x14ac:dyDescent="0.35">
      <c r="A18" s="5" t="s">
        <v>163</v>
      </c>
      <c r="B18" s="5" t="s">
        <v>164</v>
      </c>
      <c r="C18" s="11" t="s">
        <v>165</v>
      </c>
      <c r="D18" s="16" t="s">
        <v>655</v>
      </c>
      <c r="E18" s="5" t="s">
        <v>807</v>
      </c>
      <c r="F18" s="15" t="s">
        <v>166</v>
      </c>
      <c r="G18" s="5">
        <v>1879</v>
      </c>
      <c r="H18" s="5"/>
      <c r="I18" s="5" t="s">
        <v>8</v>
      </c>
      <c r="J18" s="5"/>
      <c r="K18" s="5"/>
      <c r="L18" s="5"/>
      <c r="M18" s="5" t="s">
        <v>716</v>
      </c>
      <c r="N18" s="50"/>
    </row>
    <row r="19" spans="1:14" ht="37" x14ac:dyDescent="0.35">
      <c r="A19" s="5" t="s">
        <v>168</v>
      </c>
      <c r="B19" s="5" t="s">
        <v>169</v>
      </c>
      <c r="C19" s="11" t="s">
        <v>170</v>
      </c>
      <c r="D19" s="5" t="s">
        <v>655</v>
      </c>
      <c r="E19" s="5" t="s">
        <v>172</v>
      </c>
      <c r="F19" s="15" t="s">
        <v>171</v>
      </c>
      <c r="G19" s="5">
        <v>1776</v>
      </c>
      <c r="H19" s="5"/>
      <c r="I19" s="5" t="s">
        <v>8</v>
      </c>
      <c r="J19" s="5" t="s">
        <v>107</v>
      </c>
      <c r="K19" s="5"/>
      <c r="L19" s="5" t="s">
        <v>173</v>
      </c>
      <c r="M19" s="5" t="s">
        <v>717</v>
      </c>
      <c r="N19" s="50"/>
    </row>
    <row r="20" spans="1:14" ht="92.5" x14ac:dyDescent="0.35">
      <c r="A20" s="5" t="s">
        <v>173</v>
      </c>
      <c r="B20" s="5" t="s">
        <v>174</v>
      </c>
      <c r="C20" s="11" t="s">
        <v>175</v>
      </c>
      <c r="D20" s="5" t="s">
        <v>655</v>
      </c>
      <c r="E20" s="5" t="s">
        <v>808</v>
      </c>
      <c r="F20" s="15" t="s">
        <v>176</v>
      </c>
      <c r="G20" s="46" t="s">
        <v>177</v>
      </c>
      <c r="H20" s="46">
        <v>17515</v>
      </c>
      <c r="I20" s="5" t="s">
        <v>8</v>
      </c>
      <c r="J20" s="5"/>
      <c r="K20" s="5"/>
      <c r="L20" s="5" t="s">
        <v>696</v>
      </c>
      <c r="M20" s="5"/>
      <c r="N20" s="50"/>
    </row>
    <row r="21" spans="1:14" s="38" customFormat="1" x14ac:dyDescent="0.35">
      <c r="A21" s="36"/>
      <c r="B21" s="36"/>
      <c r="C21" s="36"/>
      <c r="D21" s="37"/>
      <c r="E21" s="36"/>
      <c r="F21" s="37"/>
      <c r="G21" s="36"/>
      <c r="H21" s="36"/>
      <c r="I21" s="36"/>
      <c r="J21" s="36"/>
      <c r="K21" s="36"/>
      <c r="L21" s="36"/>
      <c r="M21" s="36"/>
      <c r="N21" s="56"/>
    </row>
    <row r="22" spans="1:14" s="13" customFormat="1" ht="74" x14ac:dyDescent="0.35">
      <c r="A22" s="5" t="s">
        <v>178</v>
      </c>
      <c r="B22" s="5" t="s">
        <v>179</v>
      </c>
      <c r="C22" s="11" t="s">
        <v>109</v>
      </c>
      <c r="D22" s="16" t="s">
        <v>769</v>
      </c>
      <c r="E22" s="5" t="s">
        <v>809</v>
      </c>
      <c r="F22" s="75" t="s">
        <v>180</v>
      </c>
      <c r="G22" s="5">
        <v>1883</v>
      </c>
      <c r="H22" s="5"/>
      <c r="I22" s="5" t="s">
        <v>18</v>
      </c>
      <c r="J22" s="5"/>
      <c r="K22" s="5" t="s">
        <v>790</v>
      </c>
      <c r="L22" s="5" t="s">
        <v>1196</v>
      </c>
      <c r="M22" s="11" t="s">
        <v>522</v>
      </c>
      <c r="N22" s="5"/>
    </row>
    <row r="23" spans="1:14" s="13" customFormat="1" ht="111" x14ac:dyDescent="0.35">
      <c r="A23" s="5" t="s">
        <v>181</v>
      </c>
      <c r="B23" s="5" t="s">
        <v>182</v>
      </c>
      <c r="C23" s="11" t="s">
        <v>615</v>
      </c>
      <c r="D23" s="16" t="s">
        <v>769</v>
      </c>
      <c r="E23" s="5" t="s">
        <v>810</v>
      </c>
      <c r="F23" s="75" t="s">
        <v>183</v>
      </c>
      <c r="G23" s="5"/>
      <c r="H23" s="5"/>
      <c r="I23" s="5" t="s">
        <v>18</v>
      </c>
      <c r="J23" s="5" t="s">
        <v>178</v>
      </c>
      <c r="K23" s="5"/>
      <c r="L23" s="5"/>
      <c r="M23" s="5"/>
      <c r="N23" s="5"/>
    </row>
    <row r="24" spans="1:14" s="13" customFormat="1" ht="55.5" x14ac:dyDescent="0.35">
      <c r="A24" s="5" t="s">
        <v>184</v>
      </c>
      <c r="B24" s="5" t="s">
        <v>185</v>
      </c>
      <c r="C24" s="11" t="s">
        <v>615</v>
      </c>
      <c r="D24" s="5" t="s">
        <v>655</v>
      </c>
      <c r="E24" s="5" t="s">
        <v>819</v>
      </c>
      <c r="F24" s="75" t="s">
        <v>186</v>
      </c>
      <c r="G24" s="5">
        <v>1953</v>
      </c>
      <c r="H24" s="5"/>
      <c r="I24" s="5" t="s">
        <v>728</v>
      </c>
      <c r="J24" s="5" t="s">
        <v>178</v>
      </c>
      <c r="K24" s="5"/>
      <c r="L24" s="5" t="s">
        <v>791</v>
      </c>
      <c r="M24" s="5" t="s">
        <v>727</v>
      </c>
      <c r="N24" s="5"/>
    </row>
    <row r="25" spans="1:14" s="13" customFormat="1" ht="166.5" x14ac:dyDescent="0.35">
      <c r="A25" s="5" t="s">
        <v>187</v>
      </c>
      <c r="B25" s="5" t="s">
        <v>188</v>
      </c>
      <c r="C25" s="11" t="s">
        <v>189</v>
      </c>
      <c r="D25" s="5" t="s">
        <v>655</v>
      </c>
      <c r="E25" s="11" t="s">
        <v>811</v>
      </c>
      <c r="F25" s="75" t="s">
        <v>190</v>
      </c>
      <c r="G25" s="5">
        <v>1929</v>
      </c>
      <c r="H25" s="5">
        <v>1944</v>
      </c>
      <c r="I25" s="11" t="s">
        <v>729</v>
      </c>
      <c r="J25" s="11"/>
      <c r="K25" s="11"/>
      <c r="L25" s="11" t="s">
        <v>1291</v>
      </c>
      <c r="M25" s="11" t="s">
        <v>730</v>
      </c>
      <c r="N25" s="5"/>
    </row>
    <row r="26" spans="1:14" s="13" customFormat="1" ht="74" x14ac:dyDescent="0.35">
      <c r="A26" s="5" t="s">
        <v>191</v>
      </c>
      <c r="B26" s="5" t="s">
        <v>192</v>
      </c>
      <c r="C26" s="11" t="s">
        <v>796</v>
      </c>
      <c r="D26" s="16" t="s">
        <v>626</v>
      </c>
      <c r="E26" s="11" t="s">
        <v>812</v>
      </c>
      <c r="F26" s="75" t="s">
        <v>193</v>
      </c>
      <c r="G26" s="5">
        <v>1556</v>
      </c>
      <c r="H26" s="5"/>
      <c r="I26" s="11" t="s">
        <v>18</v>
      </c>
      <c r="J26" s="11" t="s">
        <v>178</v>
      </c>
      <c r="K26" s="11" t="s">
        <v>194</v>
      </c>
      <c r="L26" s="11"/>
      <c r="M26" s="11" t="s">
        <v>523</v>
      </c>
      <c r="N26" s="5"/>
    </row>
    <row r="27" spans="1:14" s="13" customFormat="1" ht="92.5" x14ac:dyDescent="0.35">
      <c r="A27" s="5" t="s">
        <v>194</v>
      </c>
      <c r="B27" s="5" t="s">
        <v>195</v>
      </c>
      <c r="C27" s="11" t="s">
        <v>118</v>
      </c>
      <c r="D27" s="16" t="s">
        <v>626</v>
      </c>
      <c r="E27" s="11" t="s">
        <v>813</v>
      </c>
      <c r="F27" s="75" t="s">
        <v>196</v>
      </c>
      <c r="G27" s="5">
        <v>1925</v>
      </c>
      <c r="H27" s="5"/>
      <c r="I27" s="11" t="s">
        <v>18</v>
      </c>
      <c r="J27" s="11" t="s">
        <v>178</v>
      </c>
      <c r="K27" s="11" t="s">
        <v>191</v>
      </c>
      <c r="L27" s="11"/>
      <c r="M27" s="11" t="s">
        <v>731</v>
      </c>
      <c r="N27" s="5"/>
    </row>
    <row r="28" spans="1:14" s="38" customFormat="1" x14ac:dyDescent="0.35">
      <c r="A28" s="36"/>
      <c r="B28" s="36"/>
      <c r="C28" s="36"/>
      <c r="E28" s="36"/>
      <c r="F28" s="37"/>
      <c r="G28" s="36"/>
      <c r="H28" s="36"/>
      <c r="I28" s="36"/>
      <c r="J28" s="36"/>
      <c r="K28" s="36"/>
      <c r="L28" s="36"/>
      <c r="M28" s="36"/>
      <c r="N28" s="36"/>
    </row>
    <row r="29" spans="1:14" ht="111" x14ac:dyDescent="0.35">
      <c r="A29" s="5" t="s">
        <v>197</v>
      </c>
      <c r="B29" s="5" t="s">
        <v>198</v>
      </c>
      <c r="C29" s="11" t="s">
        <v>145</v>
      </c>
      <c r="D29" s="5" t="s">
        <v>655</v>
      </c>
      <c r="E29" s="76" t="s">
        <v>742</v>
      </c>
      <c r="F29" s="15" t="s">
        <v>199</v>
      </c>
      <c r="G29" s="77">
        <v>1907</v>
      </c>
      <c r="H29" s="5"/>
      <c r="I29" s="11" t="s">
        <v>29</v>
      </c>
      <c r="J29" s="5"/>
      <c r="K29" s="11" t="s">
        <v>793</v>
      </c>
      <c r="L29" s="11" t="s">
        <v>792</v>
      </c>
      <c r="M29" s="11" t="s">
        <v>743</v>
      </c>
      <c r="N29" s="5"/>
    </row>
    <row r="30" spans="1:14" ht="166.5" x14ac:dyDescent="0.35">
      <c r="A30" s="5" t="s">
        <v>201</v>
      </c>
      <c r="B30" s="5" t="s">
        <v>202</v>
      </c>
      <c r="C30" s="11" t="s">
        <v>189</v>
      </c>
      <c r="D30" s="5" t="s">
        <v>655</v>
      </c>
      <c r="E30" s="76" t="s">
        <v>1360</v>
      </c>
      <c r="F30" s="15" t="s">
        <v>203</v>
      </c>
      <c r="G30" s="77">
        <v>1881</v>
      </c>
      <c r="H30" s="5"/>
      <c r="I30" s="11" t="s">
        <v>1173</v>
      </c>
      <c r="J30" s="11"/>
      <c r="K30" s="11"/>
      <c r="L30" s="11" t="s">
        <v>1292</v>
      </c>
      <c r="M30" s="11" t="s">
        <v>744</v>
      </c>
      <c r="N30" s="5"/>
    </row>
    <row r="31" spans="1:14" ht="148" x14ac:dyDescent="0.35">
      <c r="A31" s="5" t="s">
        <v>204</v>
      </c>
      <c r="B31" s="5" t="s">
        <v>205</v>
      </c>
      <c r="C31" s="11" t="s">
        <v>109</v>
      </c>
      <c r="D31" s="5" t="s">
        <v>626</v>
      </c>
      <c r="E31" s="76" t="s">
        <v>814</v>
      </c>
      <c r="F31" s="15" t="s">
        <v>206</v>
      </c>
      <c r="G31" s="77" t="s">
        <v>732</v>
      </c>
      <c r="H31" s="5"/>
      <c r="I31" s="11" t="s">
        <v>741</v>
      </c>
      <c r="J31" s="5"/>
      <c r="K31" s="11" t="s">
        <v>794</v>
      </c>
      <c r="L31" s="11" t="s">
        <v>197</v>
      </c>
      <c r="M31" s="11" t="s">
        <v>745</v>
      </c>
      <c r="N31" s="5"/>
    </row>
    <row r="32" spans="1:14" ht="74" x14ac:dyDescent="0.35">
      <c r="A32" s="5" t="s">
        <v>208</v>
      </c>
      <c r="B32" s="5" t="s">
        <v>746</v>
      </c>
      <c r="C32" s="11" t="s">
        <v>796</v>
      </c>
      <c r="D32" s="5" t="s">
        <v>626</v>
      </c>
      <c r="E32" s="76" t="s">
        <v>815</v>
      </c>
      <c r="F32" s="15" t="s">
        <v>210</v>
      </c>
      <c r="G32" s="77" t="s">
        <v>733</v>
      </c>
      <c r="H32" s="5"/>
      <c r="I32" s="11" t="s">
        <v>741</v>
      </c>
      <c r="J32" s="5" t="s">
        <v>795</v>
      </c>
      <c r="K32" s="11" t="s">
        <v>140</v>
      </c>
      <c r="L32" s="11" t="s">
        <v>197</v>
      </c>
      <c r="M32" s="11" t="s">
        <v>747</v>
      </c>
      <c r="N32" s="5"/>
    </row>
    <row r="33" spans="1:14" ht="111" x14ac:dyDescent="0.35">
      <c r="A33" s="5" t="s">
        <v>212</v>
      </c>
      <c r="B33" s="5" t="s">
        <v>213</v>
      </c>
      <c r="C33" s="11" t="s">
        <v>109</v>
      </c>
      <c r="D33" s="5" t="s">
        <v>769</v>
      </c>
      <c r="E33" s="76" t="s">
        <v>816</v>
      </c>
      <c r="F33" s="15" t="s">
        <v>214</v>
      </c>
      <c r="G33" s="77" t="s">
        <v>734</v>
      </c>
      <c r="H33" s="5"/>
      <c r="I33" s="11" t="s">
        <v>669</v>
      </c>
      <c r="J33" s="11"/>
      <c r="K33" s="11" t="s">
        <v>140</v>
      </c>
      <c r="L33" s="5"/>
      <c r="M33" s="11" t="s">
        <v>748</v>
      </c>
      <c r="N33" s="5"/>
    </row>
    <row r="34" spans="1:14" ht="37" x14ac:dyDescent="0.35">
      <c r="A34" s="5" t="s">
        <v>216</v>
      </c>
      <c r="B34" s="5" t="s">
        <v>217</v>
      </c>
      <c r="C34" s="11" t="s">
        <v>109</v>
      </c>
      <c r="D34" s="5" t="s">
        <v>769</v>
      </c>
      <c r="E34" s="76" t="s">
        <v>817</v>
      </c>
      <c r="F34" s="15" t="s">
        <v>218</v>
      </c>
      <c r="G34" s="77" t="s">
        <v>735</v>
      </c>
      <c r="H34" s="5"/>
      <c r="I34" s="11" t="s">
        <v>669</v>
      </c>
      <c r="J34" s="11"/>
      <c r="K34" s="11" t="s">
        <v>140</v>
      </c>
      <c r="L34" s="5"/>
      <c r="M34" s="11" t="s">
        <v>749</v>
      </c>
      <c r="N34" s="5"/>
    </row>
    <row r="35" spans="1:14" ht="37" x14ac:dyDescent="0.35">
      <c r="A35" s="5" t="s">
        <v>220</v>
      </c>
      <c r="B35" s="5" t="s">
        <v>221</v>
      </c>
      <c r="C35" s="11" t="s">
        <v>109</v>
      </c>
      <c r="D35" s="5" t="s">
        <v>769</v>
      </c>
      <c r="E35" s="76" t="s">
        <v>818</v>
      </c>
      <c r="F35" s="15" t="s">
        <v>222</v>
      </c>
      <c r="G35" s="77" t="s">
        <v>736</v>
      </c>
      <c r="H35" s="5"/>
      <c r="I35" s="11" t="s">
        <v>669</v>
      </c>
      <c r="J35" s="11"/>
      <c r="K35" s="11" t="s">
        <v>140</v>
      </c>
      <c r="L35" s="5"/>
      <c r="M35" s="11" t="s">
        <v>750</v>
      </c>
      <c r="N35" s="5"/>
    </row>
    <row r="36" spans="1:14" ht="74" x14ac:dyDescent="0.35">
      <c r="A36" s="5" t="s">
        <v>224</v>
      </c>
      <c r="B36" s="5" t="s">
        <v>225</v>
      </c>
      <c r="C36" s="11" t="s">
        <v>109</v>
      </c>
      <c r="D36" s="5" t="s">
        <v>769</v>
      </c>
      <c r="E36" s="76" t="s">
        <v>820</v>
      </c>
      <c r="F36" s="15" t="s">
        <v>226</v>
      </c>
      <c r="G36" s="77" t="s">
        <v>737</v>
      </c>
      <c r="H36" s="5"/>
      <c r="I36" s="11" t="s">
        <v>29</v>
      </c>
      <c r="J36" s="11"/>
      <c r="K36" s="11" t="s">
        <v>140</v>
      </c>
      <c r="L36" s="5"/>
      <c r="M36" s="11" t="s">
        <v>751</v>
      </c>
      <c r="N36" s="5"/>
    </row>
    <row r="37" spans="1:14" ht="74" x14ac:dyDescent="0.35">
      <c r="A37" s="5" t="s">
        <v>228</v>
      </c>
      <c r="B37" s="5" t="s">
        <v>229</v>
      </c>
      <c r="C37" s="11" t="s">
        <v>109</v>
      </c>
      <c r="D37" s="5" t="s">
        <v>769</v>
      </c>
      <c r="E37" s="76" t="s">
        <v>756</v>
      </c>
      <c r="F37" s="15" t="s">
        <v>230</v>
      </c>
      <c r="G37" s="77" t="s">
        <v>738</v>
      </c>
      <c r="H37" s="5"/>
      <c r="I37" s="11" t="s">
        <v>29</v>
      </c>
      <c r="J37" s="11"/>
      <c r="K37" s="11" t="s">
        <v>140</v>
      </c>
      <c r="L37" s="5"/>
      <c r="M37" s="11" t="s">
        <v>752</v>
      </c>
      <c r="N37" s="5"/>
    </row>
    <row r="38" spans="1:14" ht="37" x14ac:dyDescent="0.35">
      <c r="A38" s="5" t="s">
        <v>232</v>
      </c>
      <c r="B38" s="5" t="s">
        <v>233</v>
      </c>
      <c r="C38" s="11" t="s">
        <v>109</v>
      </c>
      <c r="D38" s="5" t="s">
        <v>769</v>
      </c>
      <c r="E38" s="76" t="s">
        <v>821</v>
      </c>
      <c r="F38" s="7"/>
      <c r="G38" s="77"/>
      <c r="H38" s="5"/>
      <c r="I38" s="11" t="s">
        <v>29</v>
      </c>
      <c r="J38" s="11"/>
      <c r="K38" s="11" t="s">
        <v>140</v>
      </c>
      <c r="L38" s="5"/>
      <c r="M38" s="11" t="s">
        <v>753</v>
      </c>
      <c r="N38" s="5"/>
    </row>
    <row r="39" spans="1:14" ht="92.5" x14ac:dyDescent="0.35">
      <c r="A39" s="5" t="s">
        <v>235</v>
      </c>
      <c r="B39" s="5" t="s">
        <v>236</v>
      </c>
      <c r="C39" s="11" t="s">
        <v>175</v>
      </c>
      <c r="D39" s="5" t="s">
        <v>655</v>
      </c>
      <c r="E39" s="76" t="s">
        <v>757</v>
      </c>
      <c r="F39" s="15" t="s">
        <v>237</v>
      </c>
      <c r="G39" s="77"/>
      <c r="H39" s="5"/>
      <c r="I39" s="11" t="s">
        <v>29</v>
      </c>
      <c r="J39" s="11"/>
      <c r="K39" s="11" t="s">
        <v>140</v>
      </c>
      <c r="L39" s="5"/>
      <c r="M39" s="11" t="s">
        <v>712</v>
      </c>
      <c r="N39" s="5"/>
    </row>
    <row r="40" spans="1:14" ht="129.5" x14ac:dyDescent="0.35">
      <c r="A40" s="5" t="s">
        <v>238</v>
      </c>
      <c r="B40" s="5" t="s">
        <v>239</v>
      </c>
      <c r="C40" s="11" t="s">
        <v>796</v>
      </c>
      <c r="D40" s="5" t="s">
        <v>626</v>
      </c>
      <c r="E40" s="76" t="s">
        <v>758</v>
      </c>
      <c r="F40" s="7"/>
      <c r="G40" s="77"/>
      <c r="H40" s="5"/>
      <c r="I40" s="11" t="s">
        <v>741</v>
      </c>
      <c r="J40" s="11"/>
      <c r="K40" s="11" t="s">
        <v>1290</v>
      </c>
      <c r="L40" s="5"/>
      <c r="M40" s="11" t="s">
        <v>759</v>
      </c>
      <c r="N40" s="5"/>
    </row>
    <row r="41" spans="1:14" ht="92.5" x14ac:dyDescent="0.35">
      <c r="A41" s="5" t="s">
        <v>241</v>
      </c>
      <c r="B41" s="5" t="s">
        <v>242</v>
      </c>
      <c r="C41" s="11" t="s">
        <v>765</v>
      </c>
      <c r="D41" s="5" t="s">
        <v>626</v>
      </c>
      <c r="E41" s="76" t="s">
        <v>761</v>
      </c>
      <c r="F41" s="15" t="s">
        <v>243</v>
      </c>
      <c r="G41" s="77" t="s">
        <v>739</v>
      </c>
      <c r="H41" s="5"/>
      <c r="I41" s="11" t="s">
        <v>29</v>
      </c>
      <c r="J41" s="11"/>
      <c r="K41" s="11" t="s">
        <v>140</v>
      </c>
      <c r="L41" s="5"/>
      <c r="M41" s="11" t="s">
        <v>760</v>
      </c>
      <c r="N41" s="5"/>
    </row>
    <row r="42" spans="1:14" ht="147.5" customHeight="1" x14ac:dyDescent="0.35">
      <c r="A42" s="5" t="s">
        <v>763</v>
      </c>
      <c r="B42" s="5" t="s">
        <v>764</v>
      </c>
      <c r="C42" s="11" t="s">
        <v>765</v>
      </c>
      <c r="D42" s="5" t="s">
        <v>655</v>
      </c>
      <c r="E42" s="11" t="s">
        <v>766</v>
      </c>
      <c r="F42" s="15" t="s">
        <v>762</v>
      </c>
      <c r="G42" s="77">
        <v>1929</v>
      </c>
      <c r="H42" s="5"/>
      <c r="I42" s="11" t="s">
        <v>29</v>
      </c>
      <c r="J42" s="11"/>
      <c r="K42" s="11" t="s">
        <v>140</v>
      </c>
      <c r="L42" s="5"/>
      <c r="M42" s="11" t="s">
        <v>325</v>
      </c>
      <c r="N42" s="5"/>
    </row>
    <row r="43" spans="1:14" ht="37" x14ac:dyDescent="0.35">
      <c r="A43" s="5" t="s">
        <v>245</v>
      </c>
      <c r="B43" s="5" t="s">
        <v>246</v>
      </c>
      <c r="C43" s="11" t="s">
        <v>247</v>
      </c>
      <c r="D43" s="5" t="s">
        <v>769</v>
      </c>
      <c r="E43" s="76" t="s">
        <v>822</v>
      </c>
      <c r="F43" s="15" t="s">
        <v>248</v>
      </c>
      <c r="G43" s="77" t="s">
        <v>740</v>
      </c>
      <c r="H43" s="5"/>
      <c r="I43" s="11" t="s">
        <v>29</v>
      </c>
      <c r="J43" s="11" t="s">
        <v>250</v>
      </c>
      <c r="K43" s="11" t="s">
        <v>208</v>
      </c>
      <c r="L43" s="5"/>
      <c r="M43" s="11" t="s">
        <v>767</v>
      </c>
      <c r="N43" s="5"/>
    </row>
    <row r="44" spans="1:14" ht="37" x14ac:dyDescent="0.35">
      <c r="A44" s="5" t="s">
        <v>250</v>
      </c>
      <c r="B44" s="5" t="s">
        <v>251</v>
      </c>
      <c r="C44" s="11" t="s">
        <v>109</v>
      </c>
      <c r="D44" s="90" t="s">
        <v>769</v>
      </c>
      <c r="E44" s="76" t="s">
        <v>822</v>
      </c>
      <c r="F44" s="15" t="s">
        <v>252</v>
      </c>
      <c r="G44" s="77" t="s">
        <v>740</v>
      </c>
      <c r="H44" s="5"/>
      <c r="I44" s="11" t="s">
        <v>29</v>
      </c>
      <c r="J44" s="11" t="s">
        <v>245</v>
      </c>
      <c r="K44" s="11" t="s">
        <v>208</v>
      </c>
      <c r="L44" s="5"/>
      <c r="M44" s="11" t="s">
        <v>768</v>
      </c>
      <c r="N44" s="50"/>
    </row>
    <row r="45" spans="1:14" s="38" customFormat="1" x14ac:dyDescent="0.35">
      <c r="A45" s="78"/>
      <c r="B45" s="78"/>
      <c r="C45" s="78"/>
      <c r="D45" s="80"/>
      <c r="E45" s="78"/>
      <c r="F45" s="78"/>
      <c r="G45" s="78"/>
      <c r="H45" s="78"/>
      <c r="I45" s="78"/>
      <c r="J45" s="78"/>
      <c r="K45" s="78"/>
      <c r="L45" s="78"/>
      <c r="M45" s="52"/>
      <c r="N45" s="81"/>
    </row>
    <row r="46" spans="1:14" ht="166.5" x14ac:dyDescent="0.35">
      <c r="A46" s="27" t="s">
        <v>861</v>
      </c>
      <c r="B46" s="27" t="s">
        <v>863</v>
      </c>
      <c r="C46" s="11" t="s">
        <v>145</v>
      </c>
      <c r="D46" s="5" t="s">
        <v>655</v>
      </c>
      <c r="E46" s="124" t="s">
        <v>1335</v>
      </c>
      <c r="F46" s="27"/>
      <c r="G46" s="27"/>
      <c r="H46" s="27"/>
      <c r="I46" s="27" t="s">
        <v>93</v>
      </c>
      <c r="K46" s="5" t="s">
        <v>866</v>
      </c>
      <c r="L46" s="27" t="s">
        <v>1192</v>
      </c>
      <c r="M46" s="13" t="s">
        <v>1197</v>
      </c>
      <c r="N46" s="92"/>
    </row>
    <row r="47" spans="1:14" ht="129.5" x14ac:dyDescent="0.35">
      <c r="A47" s="27" t="s">
        <v>862</v>
      </c>
      <c r="B47" s="27" t="s">
        <v>864</v>
      </c>
      <c r="C47" s="11" t="s">
        <v>145</v>
      </c>
      <c r="D47" s="5" t="s">
        <v>655</v>
      </c>
      <c r="E47" s="124" t="s">
        <v>1319</v>
      </c>
      <c r="F47" s="27"/>
      <c r="G47" s="27"/>
      <c r="H47" s="27"/>
      <c r="I47" s="27" t="s">
        <v>93</v>
      </c>
      <c r="K47" s="5" t="s">
        <v>866</v>
      </c>
      <c r="L47" s="27" t="s">
        <v>1193</v>
      </c>
      <c r="M47" s="13" t="s">
        <v>1198</v>
      </c>
      <c r="N47" s="92"/>
    </row>
    <row r="48" spans="1:14" ht="166.5" x14ac:dyDescent="0.35">
      <c r="A48" s="5" t="s">
        <v>865</v>
      </c>
      <c r="B48" s="5" t="s">
        <v>839</v>
      </c>
      <c r="C48" s="5" t="s">
        <v>109</v>
      </c>
      <c r="D48" s="5" t="s">
        <v>769</v>
      </c>
      <c r="E48" s="122" t="s">
        <v>1343</v>
      </c>
      <c r="F48" s="15" t="s">
        <v>890</v>
      </c>
      <c r="G48" s="5"/>
      <c r="H48" s="5"/>
      <c r="I48" s="27" t="s">
        <v>93</v>
      </c>
      <c r="J48" s="5"/>
      <c r="K48" s="5" t="s">
        <v>866</v>
      </c>
      <c r="L48" s="27" t="s">
        <v>1193</v>
      </c>
      <c r="M48" s="73" t="s">
        <v>959</v>
      </c>
      <c r="N48" s="50"/>
    </row>
    <row r="49" spans="1:14" ht="74" x14ac:dyDescent="0.35">
      <c r="A49" s="5" t="s">
        <v>866</v>
      </c>
      <c r="B49" s="5" t="s">
        <v>851</v>
      </c>
      <c r="C49" s="11" t="s">
        <v>765</v>
      </c>
      <c r="D49" s="5" t="s">
        <v>626</v>
      </c>
      <c r="E49" s="122" t="s">
        <v>1344</v>
      </c>
      <c r="F49" s="15" t="s">
        <v>895</v>
      </c>
      <c r="G49" s="5"/>
      <c r="H49" s="5"/>
      <c r="I49" s="27" t="s">
        <v>93</v>
      </c>
      <c r="J49" s="5" t="s">
        <v>865</v>
      </c>
      <c r="K49" s="5"/>
      <c r="L49" s="27" t="s">
        <v>1193</v>
      </c>
      <c r="M49" s="73" t="s">
        <v>961</v>
      </c>
      <c r="N49" s="50"/>
    </row>
    <row r="50" spans="1:14" ht="92.5" x14ac:dyDescent="0.35">
      <c r="A50" s="5" t="s">
        <v>867</v>
      </c>
      <c r="B50" s="5" t="s">
        <v>840</v>
      </c>
      <c r="C50" s="11" t="s">
        <v>765</v>
      </c>
      <c r="D50" s="5" t="s">
        <v>769</v>
      </c>
      <c r="E50" s="122" t="s">
        <v>1320</v>
      </c>
      <c r="F50" s="15" t="s">
        <v>891</v>
      </c>
      <c r="G50" s="5"/>
      <c r="H50" s="5"/>
      <c r="I50" s="27" t="s">
        <v>93</v>
      </c>
      <c r="J50" s="5"/>
      <c r="K50" s="5"/>
      <c r="L50" s="27"/>
      <c r="M50" s="73" t="s">
        <v>1199</v>
      </c>
      <c r="N50" s="50"/>
    </row>
    <row r="51" spans="1:14" ht="92.5" x14ac:dyDescent="0.35">
      <c r="A51" s="5" t="s">
        <v>868</v>
      </c>
      <c r="B51" s="5" t="s">
        <v>841</v>
      </c>
      <c r="C51" s="5" t="s">
        <v>109</v>
      </c>
      <c r="D51" s="5" t="s">
        <v>769</v>
      </c>
      <c r="E51" s="122" t="s">
        <v>1345</v>
      </c>
      <c r="F51" s="15" t="s">
        <v>892</v>
      </c>
      <c r="G51" s="5"/>
      <c r="H51" s="5"/>
      <c r="I51" s="27" t="s">
        <v>93</v>
      </c>
      <c r="J51" s="5"/>
      <c r="K51" s="5" t="s">
        <v>866</v>
      </c>
      <c r="L51" s="27" t="s">
        <v>1193</v>
      </c>
      <c r="M51" s="73" t="s">
        <v>1200</v>
      </c>
      <c r="N51" s="50"/>
    </row>
    <row r="52" spans="1:14" ht="92.5" x14ac:dyDescent="0.35">
      <c r="A52" s="5" t="s">
        <v>869</v>
      </c>
      <c r="B52" s="5" t="s">
        <v>842</v>
      </c>
      <c r="C52" s="5" t="s">
        <v>109</v>
      </c>
      <c r="D52" s="5" t="s">
        <v>769</v>
      </c>
      <c r="E52" s="122" t="s">
        <v>1346</v>
      </c>
      <c r="F52" s="15" t="s">
        <v>893</v>
      </c>
      <c r="G52" s="5"/>
      <c r="H52" s="5"/>
      <c r="I52" s="27" t="s">
        <v>93</v>
      </c>
      <c r="J52" s="5"/>
      <c r="K52" s="5" t="s">
        <v>866</v>
      </c>
      <c r="L52" s="27" t="s">
        <v>1193</v>
      </c>
      <c r="M52" s="73" t="s">
        <v>1288</v>
      </c>
      <c r="N52" s="50"/>
    </row>
    <row r="53" spans="1:14" ht="74" x14ac:dyDescent="0.35">
      <c r="A53" s="5" t="s">
        <v>870</v>
      </c>
      <c r="B53" s="5" t="s">
        <v>843</v>
      </c>
      <c r="C53" s="5" t="s">
        <v>109</v>
      </c>
      <c r="D53" s="5" t="s">
        <v>769</v>
      </c>
      <c r="E53" s="122" t="s">
        <v>1321</v>
      </c>
      <c r="F53" s="15" t="s">
        <v>894</v>
      </c>
      <c r="G53" s="5"/>
      <c r="H53" s="5"/>
      <c r="I53" s="27" t="s">
        <v>93</v>
      </c>
      <c r="J53" s="5"/>
      <c r="K53" s="5" t="s">
        <v>866</v>
      </c>
      <c r="L53" s="27" t="s">
        <v>1193</v>
      </c>
      <c r="M53" s="73" t="s">
        <v>1289</v>
      </c>
      <c r="N53" s="50"/>
    </row>
    <row r="54" spans="1:14" s="38" customFormat="1" x14ac:dyDescent="0.35">
      <c r="A54" s="36"/>
      <c r="B54" s="36"/>
      <c r="C54" s="36"/>
      <c r="D54" s="102"/>
      <c r="E54" s="125"/>
      <c r="F54" s="36"/>
      <c r="G54" s="36"/>
      <c r="H54" s="36"/>
      <c r="I54" s="36"/>
      <c r="J54" s="36"/>
      <c r="K54" s="36"/>
      <c r="L54" s="36"/>
      <c r="M54" s="74"/>
      <c r="N54" s="56"/>
    </row>
    <row r="55" spans="1:14" ht="92.5" x14ac:dyDescent="0.35">
      <c r="A55" s="5" t="s">
        <v>1022</v>
      </c>
      <c r="B55" s="5" t="s">
        <v>989</v>
      </c>
      <c r="C55" s="5" t="s">
        <v>615</v>
      </c>
      <c r="D55" s="11" t="s">
        <v>655</v>
      </c>
      <c r="E55" s="122" t="s">
        <v>1347</v>
      </c>
      <c r="F55" s="15" t="s">
        <v>1070</v>
      </c>
      <c r="G55" s="5"/>
      <c r="H55" s="5"/>
      <c r="I55" s="5" t="s">
        <v>87</v>
      </c>
      <c r="L55" s="5" t="s">
        <v>1191</v>
      </c>
      <c r="M55" s="73" t="str">
        <f>_xlfn.TEXTJOIN("; ",TRUE,LUOGHI!A83,LUOGHI!A88)</f>
        <v>TO_loc; Soprintendenza-Piemonte-Liguria_loc</v>
      </c>
      <c r="N55" s="50"/>
    </row>
    <row r="56" spans="1:14" ht="148" x14ac:dyDescent="0.35">
      <c r="A56" s="5" t="s">
        <v>1023</v>
      </c>
      <c r="B56" s="5" t="s">
        <v>991</v>
      </c>
      <c r="C56" s="11" t="s">
        <v>145</v>
      </c>
      <c r="D56" s="11" t="s">
        <v>655</v>
      </c>
      <c r="E56" s="122" t="s">
        <v>1348</v>
      </c>
      <c r="F56" s="15" t="s">
        <v>1070</v>
      </c>
      <c r="G56" s="5"/>
      <c r="H56" s="5"/>
      <c r="I56" s="5" t="s">
        <v>87</v>
      </c>
      <c r="J56" s="5" t="s">
        <v>1024</v>
      </c>
      <c r="K56" s="5" t="str">
        <f>_xlfn.TEXTJOIN("; ", TRUE,A57:A58,A60:A61)</f>
        <v>C-Settime_org; C-Monta_org; C-Guiglia_org; Borromeo_org</v>
      </c>
      <c r="L56" s="5" t="s">
        <v>1022</v>
      </c>
      <c r="M56" s="73" t="str">
        <f>_xlfn.TEXTJOIN("; ",TRUE,LUOGHI!A83,LUOGHI!A88)</f>
        <v>TO_loc; Soprintendenza-Piemonte-Liguria_loc</v>
      </c>
      <c r="N56" s="50"/>
    </row>
    <row r="57" spans="1:14" ht="74" x14ac:dyDescent="0.35">
      <c r="A57" s="5" t="s">
        <v>1089</v>
      </c>
      <c r="B57" s="5" t="s">
        <v>996</v>
      </c>
      <c r="C57" s="5" t="s">
        <v>118</v>
      </c>
      <c r="D57" s="11" t="s">
        <v>626</v>
      </c>
      <c r="E57" s="122" t="s">
        <v>1322</v>
      </c>
      <c r="F57" s="15" t="s">
        <v>995</v>
      </c>
      <c r="G57" s="5"/>
      <c r="H57" s="5"/>
      <c r="I57" s="5" t="s">
        <v>87</v>
      </c>
      <c r="J57" s="5" t="s">
        <v>1024</v>
      </c>
      <c r="K57" s="5" t="str">
        <f>_xlfn.TEXTJOIN("; ", TRUE,A58,A60:A61)</f>
        <v>C-Monta_org; C-Guiglia_org; Borromeo_org</v>
      </c>
      <c r="L57" s="5" t="s">
        <v>1023</v>
      </c>
      <c r="M57" s="73" t="str">
        <f>_xlfn.TEXTJOIN("; ",TRUE,LUOGHI!A84,LUOGHI!A89)</f>
        <v>Settime_loc; C-Settime_loc</v>
      </c>
      <c r="N57" s="50"/>
    </row>
    <row r="58" spans="1:14" ht="55.5" x14ac:dyDescent="0.35">
      <c r="A58" s="5" t="s">
        <v>1087</v>
      </c>
      <c r="B58" s="5" t="s">
        <v>997</v>
      </c>
      <c r="C58" s="5" t="s">
        <v>118</v>
      </c>
      <c r="D58" s="11" t="s">
        <v>626</v>
      </c>
      <c r="E58" s="122" t="s">
        <v>1323</v>
      </c>
      <c r="F58" s="15" t="s">
        <v>998</v>
      </c>
      <c r="G58" s="5"/>
      <c r="H58" s="5"/>
      <c r="I58" s="5" t="s">
        <v>87</v>
      </c>
      <c r="J58" s="5" t="s">
        <v>1024</v>
      </c>
      <c r="K58" s="5" t="str">
        <f>_xlfn.TEXTJOIN("; ", TRUE,A57,A60:A61)</f>
        <v>C-Settime_org; C-Guiglia_org; Borromeo_org</v>
      </c>
      <c r="L58" s="5" t="s">
        <v>1023</v>
      </c>
      <c r="M58" s="73" t="str">
        <f>_xlfn.TEXTJOIN("; ",TRUE,LUOGHI!A85,LUOGHI!A90)</f>
        <v>Monta_loc; C-Monta_loc</v>
      </c>
      <c r="N58" s="50"/>
    </row>
    <row r="59" spans="1:14" ht="74" x14ac:dyDescent="0.35">
      <c r="A59" s="5" t="s">
        <v>1024</v>
      </c>
      <c r="B59" s="5" t="s">
        <v>999</v>
      </c>
      <c r="C59" s="5" t="s">
        <v>109</v>
      </c>
      <c r="D59" s="11" t="s">
        <v>769</v>
      </c>
      <c r="E59" s="122" t="s">
        <v>1324</v>
      </c>
      <c r="F59" s="15" t="s">
        <v>1069</v>
      </c>
      <c r="G59" s="5"/>
      <c r="H59" s="5"/>
      <c r="I59" s="5" t="s">
        <v>87</v>
      </c>
      <c r="J59" s="5"/>
      <c r="K59" s="5" t="str">
        <f>_xlfn.TEXTJOIN("; ", TRUE,A57:A58,A60:A61)</f>
        <v>C-Settime_org; C-Monta_org; C-Guiglia_org; Borromeo_org</v>
      </c>
      <c r="L59" s="5" t="s">
        <v>1023</v>
      </c>
      <c r="M59" s="73" t="str">
        <f>_xlfn.TEXTJOIN("; ",TRUE,LUOGHI!A83,LUOGHI!A91)</f>
        <v>TO_loc; Sabauda_loc</v>
      </c>
      <c r="N59" s="50"/>
    </row>
    <row r="60" spans="1:14" ht="74" x14ac:dyDescent="0.35">
      <c r="A60" s="5" t="s">
        <v>1088</v>
      </c>
      <c r="B60" s="5" t="s">
        <v>1000</v>
      </c>
      <c r="C60" s="5" t="s">
        <v>118</v>
      </c>
      <c r="D60" s="11" t="s">
        <v>626</v>
      </c>
      <c r="E60" s="122" t="s">
        <v>1325</v>
      </c>
      <c r="F60" s="32" t="s">
        <v>1067</v>
      </c>
      <c r="G60" s="5"/>
      <c r="H60" s="5"/>
      <c r="I60" s="5" t="s">
        <v>87</v>
      </c>
      <c r="J60" s="5" t="s">
        <v>1024</v>
      </c>
      <c r="K60" s="5" t="str">
        <f>_xlfn.TEXTJOIN("; ",,A57,A58,A61)</f>
        <v>C-Settime_org; C-Monta_org; Borromeo_org</v>
      </c>
      <c r="L60" s="5" t="s">
        <v>1174</v>
      </c>
      <c r="M60" s="73" t="str">
        <f>_xlfn.TEXTJOIN("; ",TRUE,LUOGHI!A86,LUOGHI!A92)</f>
        <v>Guiglia_loc; C-Guiglia_loc</v>
      </c>
      <c r="N60" s="50"/>
    </row>
    <row r="61" spans="1:14" ht="74" x14ac:dyDescent="0.35">
      <c r="A61" s="5" t="s">
        <v>1025</v>
      </c>
      <c r="B61" s="5" t="s">
        <v>1001</v>
      </c>
      <c r="C61" s="5" t="s">
        <v>109</v>
      </c>
      <c r="D61" s="11" t="s">
        <v>626</v>
      </c>
      <c r="E61" s="122" t="s">
        <v>1326</v>
      </c>
      <c r="F61" s="33" t="s">
        <v>1068</v>
      </c>
      <c r="G61" s="5"/>
      <c r="H61" s="5"/>
      <c r="I61" s="5" t="s">
        <v>87</v>
      </c>
      <c r="J61" s="5" t="s">
        <v>1024</v>
      </c>
      <c r="K61" s="5" t="str">
        <f>_xlfn.TEXTJOIN("; ",TRUE,A57,A58,A60)</f>
        <v>C-Settime_org; C-Monta_org; C-Guiglia_org</v>
      </c>
      <c r="L61" s="5" t="s">
        <v>1023</v>
      </c>
      <c r="M61" s="73" t="str">
        <f>_xlfn.TEXTJOIN("; ",TRUE,LUOGHI!A87,LUOGHI!A93)</f>
        <v>Stresa_loc; Borromeo_loc</v>
      </c>
      <c r="N61" s="50"/>
    </row>
    <row r="62" spans="1:14" s="38" customFormat="1" x14ac:dyDescent="0.35">
      <c r="A62" s="36"/>
      <c r="B62" s="36"/>
      <c r="C62" s="36"/>
      <c r="D62" s="102"/>
      <c r="E62" s="125"/>
      <c r="F62" s="36"/>
      <c r="G62" s="36"/>
      <c r="H62" s="36"/>
      <c r="I62" s="36"/>
      <c r="J62" s="36"/>
      <c r="K62" s="36"/>
      <c r="L62" s="36"/>
      <c r="M62" s="74"/>
      <c r="N62" s="56"/>
    </row>
    <row r="63" spans="1:14" ht="55.5" x14ac:dyDescent="0.35">
      <c r="A63" s="5" t="s">
        <v>1175</v>
      </c>
      <c r="B63" s="5" t="s">
        <v>1176</v>
      </c>
      <c r="C63" s="11" t="s">
        <v>145</v>
      </c>
      <c r="D63" s="11" t="s">
        <v>655</v>
      </c>
      <c r="E63" s="122" t="s">
        <v>1327</v>
      </c>
      <c r="F63" s="5"/>
      <c r="G63" s="5"/>
      <c r="H63" s="5"/>
      <c r="I63" s="5" t="s">
        <v>98</v>
      </c>
      <c r="J63" s="5" t="s">
        <v>1099</v>
      </c>
      <c r="K63" s="5" t="s">
        <v>1179</v>
      </c>
      <c r="L63" s="5" t="s">
        <v>1184</v>
      </c>
      <c r="M63" s="73" t="s">
        <v>1185</v>
      </c>
      <c r="N63" s="50"/>
    </row>
    <row r="64" spans="1:14" ht="92.5" x14ac:dyDescent="0.35">
      <c r="A64" s="5" t="s">
        <v>1102</v>
      </c>
      <c r="B64" s="5" t="s">
        <v>1097</v>
      </c>
      <c r="C64" s="11" t="s">
        <v>145</v>
      </c>
      <c r="D64" s="11" t="s">
        <v>655</v>
      </c>
      <c r="E64" s="122" t="s">
        <v>1328</v>
      </c>
      <c r="F64" s="15" t="s">
        <v>1134</v>
      </c>
      <c r="G64" s="5"/>
      <c r="H64" s="5"/>
      <c r="I64" s="5" t="s">
        <v>98</v>
      </c>
      <c r="J64" s="13" t="s">
        <v>1177</v>
      </c>
      <c r="K64" s="5" t="s">
        <v>1179</v>
      </c>
      <c r="L64" s="5" t="s">
        <v>1175</v>
      </c>
      <c r="M64" s="73" t="s">
        <v>1357</v>
      </c>
      <c r="N64" s="50"/>
    </row>
    <row r="65" spans="1:14" ht="111" x14ac:dyDescent="0.35">
      <c r="A65" s="5" t="s">
        <v>1103</v>
      </c>
      <c r="B65" s="5" t="s">
        <v>1098</v>
      </c>
      <c r="C65" s="11" t="s">
        <v>145</v>
      </c>
      <c r="D65" s="11" t="s">
        <v>655</v>
      </c>
      <c r="E65" s="122" t="s">
        <v>1329</v>
      </c>
      <c r="F65" s="15" t="s">
        <v>1135</v>
      </c>
      <c r="G65" s="5"/>
      <c r="H65" s="5"/>
      <c r="I65" s="5" t="s">
        <v>98</v>
      </c>
      <c r="J65" s="5" t="s">
        <v>1177</v>
      </c>
      <c r="K65" s="5" t="s">
        <v>1179</v>
      </c>
      <c r="L65" s="5" t="s">
        <v>1175</v>
      </c>
      <c r="M65" s="73" t="s">
        <v>1358</v>
      </c>
      <c r="N65" s="50"/>
    </row>
    <row r="66" spans="1:14" ht="92.5" x14ac:dyDescent="0.35">
      <c r="A66" s="5" t="s">
        <v>1099</v>
      </c>
      <c r="B66" s="5" t="s">
        <v>1093</v>
      </c>
      <c r="C66" s="5" t="s">
        <v>118</v>
      </c>
      <c r="D66" s="11" t="s">
        <v>769</v>
      </c>
      <c r="E66" s="122" t="s">
        <v>1330</v>
      </c>
      <c r="F66" s="15" t="s">
        <v>1136</v>
      </c>
      <c r="G66" s="5"/>
      <c r="H66" s="5"/>
      <c r="I66" s="5" t="s">
        <v>98</v>
      </c>
      <c r="J66" s="5" t="s">
        <v>1178</v>
      </c>
      <c r="K66" s="5" t="s">
        <v>1179</v>
      </c>
      <c r="L66" s="5" t="s">
        <v>1183</v>
      </c>
      <c r="M66" s="73" t="s">
        <v>1185</v>
      </c>
      <c r="N66" s="50"/>
    </row>
    <row r="67" spans="1:14" ht="92.5" x14ac:dyDescent="0.35">
      <c r="A67" s="5" t="s">
        <v>1104</v>
      </c>
      <c r="B67" s="5" t="s">
        <v>1094</v>
      </c>
      <c r="C67" s="11" t="s">
        <v>796</v>
      </c>
      <c r="D67" s="11" t="s">
        <v>626</v>
      </c>
      <c r="E67" s="122" t="s">
        <v>1349</v>
      </c>
      <c r="F67" s="5"/>
      <c r="G67" s="5"/>
      <c r="H67" s="5"/>
      <c r="I67" s="5" t="s">
        <v>98</v>
      </c>
      <c r="J67" s="5" t="s">
        <v>1177</v>
      </c>
      <c r="K67" s="5" t="s">
        <v>1180</v>
      </c>
      <c r="L67" s="5" t="s">
        <v>1183</v>
      </c>
      <c r="M67" s="73" t="s">
        <v>1186</v>
      </c>
      <c r="N67" s="50"/>
    </row>
    <row r="68" spans="1:14" ht="92.5" x14ac:dyDescent="0.35">
      <c r="A68" s="5" t="s">
        <v>1105</v>
      </c>
      <c r="B68" s="5" t="s">
        <v>1095</v>
      </c>
      <c r="C68" s="11" t="s">
        <v>796</v>
      </c>
      <c r="D68" s="11" t="s">
        <v>626</v>
      </c>
      <c r="E68" s="122" t="s">
        <v>1331</v>
      </c>
      <c r="F68" s="15" t="s">
        <v>1137</v>
      </c>
      <c r="G68" s="5"/>
      <c r="H68" s="5"/>
      <c r="I68" s="5" t="s">
        <v>98</v>
      </c>
      <c r="J68" s="5" t="s">
        <v>1177</v>
      </c>
      <c r="K68" s="5" t="s">
        <v>1181</v>
      </c>
      <c r="L68" s="5" t="s">
        <v>1183</v>
      </c>
      <c r="M68" s="73" t="str">
        <f>_xlfn.TEXTJOIN("; ",TRUE,LUOGHI!A98,LUOGHI!A102)</f>
        <v>Gaione_loc; VP_loc</v>
      </c>
      <c r="N68" s="50"/>
    </row>
    <row r="69" spans="1:14" ht="111" x14ac:dyDescent="0.35">
      <c r="A69" s="5" t="s">
        <v>1101</v>
      </c>
      <c r="B69" s="5" t="s">
        <v>1096</v>
      </c>
      <c r="C69" s="5" t="s">
        <v>118</v>
      </c>
      <c r="D69" s="11" t="s">
        <v>626</v>
      </c>
      <c r="E69" s="122" t="s">
        <v>1350</v>
      </c>
      <c r="F69" s="15" t="s">
        <v>1138</v>
      </c>
      <c r="G69" s="5"/>
      <c r="H69" s="5"/>
      <c r="I69" s="5" t="s">
        <v>98</v>
      </c>
      <c r="J69" s="5" t="s">
        <v>1177</v>
      </c>
      <c r="K69" s="5" t="s">
        <v>1182</v>
      </c>
      <c r="L69" s="5" t="s">
        <v>1183</v>
      </c>
      <c r="M69" s="73" t="s">
        <v>1187</v>
      </c>
      <c r="N69" s="50"/>
    </row>
    <row r="70" spans="1:14" ht="74" x14ac:dyDescent="0.35">
      <c r="A70" s="5" t="s">
        <v>1117</v>
      </c>
      <c r="B70" s="5" t="s">
        <v>1115</v>
      </c>
      <c r="C70" s="5" t="s">
        <v>109</v>
      </c>
      <c r="D70" s="11" t="s">
        <v>769</v>
      </c>
      <c r="E70" s="122" t="s">
        <v>1332</v>
      </c>
      <c r="F70" s="15" t="s">
        <v>1139</v>
      </c>
      <c r="G70" s="5"/>
      <c r="H70" s="5"/>
      <c r="I70" s="5" t="s">
        <v>98</v>
      </c>
      <c r="J70" s="5" t="s">
        <v>1241</v>
      </c>
      <c r="K70" s="5" t="s">
        <v>1179</v>
      </c>
      <c r="L70" s="5" t="s">
        <v>1183</v>
      </c>
      <c r="M70" s="73" t="s">
        <v>1188</v>
      </c>
      <c r="N70" s="50"/>
    </row>
    <row r="71" spans="1:14" ht="111" x14ac:dyDescent="0.35">
      <c r="A71" s="5" t="s">
        <v>1118</v>
      </c>
      <c r="B71" s="5" t="s">
        <v>1116</v>
      </c>
      <c r="C71" s="5" t="s">
        <v>109</v>
      </c>
      <c r="D71" s="11" t="s">
        <v>769</v>
      </c>
      <c r="E71" s="122" t="s">
        <v>1333</v>
      </c>
      <c r="F71" s="15" t="s">
        <v>1140</v>
      </c>
      <c r="G71" s="5"/>
      <c r="H71" s="5"/>
      <c r="I71" s="5" t="s">
        <v>98</v>
      </c>
      <c r="J71" s="5" t="s">
        <v>1242</v>
      </c>
      <c r="K71" s="5" t="s">
        <v>1179</v>
      </c>
      <c r="L71" s="5" t="s">
        <v>1183</v>
      </c>
      <c r="M71" s="73" t="s">
        <v>1189</v>
      </c>
      <c r="N71" s="50"/>
    </row>
    <row r="72" spans="1:14" ht="74" x14ac:dyDescent="0.35">
      <c r="A72" s="25" t="s">
        <v>1239</v>
      </c>
      <c r="B72" s="25" t="s">
        <v>1240</v>
      </c>
      <c r="C72" s="25" t="s">
        <v>109</v>
      </c>
      <c r="D72" s="115" t="s">
        <v>769</v>
      </c>
      <c r="E72" s="126" t="s">
        <v>1334</v>
      </c>
      <c r="F72" s="121" t="s">
        <v>1265</v>
      </c>
      <c r="G72" s="25"/>
      <c r="H72" s="25"/>
      <c r="I72" s="25" t="s">
        <v>98</v>
      </c>
      <c r="J72" s="25" t="s">
        <v>1177</v>
      </c>
      <c r="K72" s="25" t="s">
        <v>1179</v>
      </c>
      <c r="L72" s="25" t="s">
        <v>1183</v>
      </c>
      <c r="M72" s="116" t="s">
        <v>1243</v>
      </c>
      <c r="N72" s="117"/>
    </row>
    <row r="73" spans="1:14" x14ac:dyDescent="0.35">
      <c r="A73" s="118"/>
      <c r="B73" s="118"/>
      <c r="C73" s="118"/>
      <c r="D73" s="119"/>
      <c r="E73" s="118"/>
      <c r="F73" s="118"/>
      <c r="G73" s="118"/>
      <c r="H73" s="118"/>
      <c r="I73" s="118"/>
      <c r="J73" s="118"/>
      <c r="K73" s="118"/>
      <c r="L73" s="118"/>
      <c r="M73" s="118"/>
      <c r="N73" s="120"/>
    </row>
  </sheetData>
  <phoneticPr fontId="11" type="noConversion"/>
  <hyperlinks>
    <hyperlink ref="F2" r:id="rId1" xr:uid="{766FFB60-152A-4D66-9EFB-F1C86EF60EC3}"/>
    <hyperlink ref="F3" r:id="rId2" xr:uid="{7987106D-44DE-4F59-9610-DE1347DE9F92}"/>
    <hyperlink ref="F4" r:id="rId3" xr:uid="{68CBCCD2-C0F5-4169-BF28-348A60106410}"/>
    <hyperlink ref="F5" r:id="rId4" xr:uid="{DE0AD2E6-AF67-406A-BA60-7F76A2EC4CC9}"/>
    <hyperlink ref="F6" r:id="rId5" xr:uid="{C0A6407C-23BA-4514-A8F2-153FC2DDF7C5}"/>
    <hyperlink ref="F7" r:id="rId6" xr:uid="{FB6BA17A-4687-4821-A67F-4B77F7963EC8}"/>
    <hyperlink ref="F8" r:id="rId7" xr:uid="{61B6CBB0-43CC-4F20-86BA-E93CF1445E56}"/>
    <hyperlink ref="F9" r:id="rId8" xr:uid="{CC2875C3-30FF-461A-AEC6-ACB43E1A541F}"/>
    <hyperlink ref="F11" r:id="rId9" xr:uid="{2BCA3AD4-1DDC-41F0-9CEA-0F613C109906}"/>
    <hyperlink ref="F14" r:id="rId10" xr:uid="{249DF1E6-2D14-4E07-87AA-55B1BA9EE5BC}"/>
    <hyperlink ref="F15" r:id="rId11" xr:uid="{83C376D6-2104-449D-9A3B-BFA1A871D293}"/>
    <hyperlink ref="F16" r:id="rId12" xr:uid="{D8369FF1-B9B7-481C-8A80-11FA13BD5228}"/>
    <hyperlink ref="F19" r:id="rId13" xr:uid="{46625F81-A92D-4472-94B0-F83DDC7C7A2D}"/>
    <hyperlink ref="F20" r:id="rId14" xr:uid="{793A80F4-9E2C-4783-AA48-D953D73C69C8}"/>
    <hyperlink ref="F22" r:id="rId15" xr:uid="{40C49598-57BB-488B-ADAA-B177416197D2}"/>
    <hyperlink ref="F23" r:id="rId16" xr:uid="{432CF947-5C55-4B00-92F4-511EABD327A0}"/>
    <hyperlink ref="F24" r:id="rId17" xr:uid="{632BB379-FA4F-40D5-818A-8CD6ED75DF13}"/>
    <hyperlink ref="F25" r:id="rId18" xr:uid="{28CD6909-C2E0-4B80-B31C-EF113F6A0D4F}"/>
    <hyperlink ref="F26" r:id="rId19" xr:uid="{BA13133E-B9E9-43C4-A76A-C776C5DED4C3}"/>
    <hyperlink ref="F27" r:id="rId20" xr:uid="{D3BC676A-BB1D-4417-8A03-69FEB7C33B67}"/>
    <hyperlink ref="F12" r:id="rId21" xr:uid="{01278627-54F7-411D-8412-626F302ECBC2}"/>
    <hyperlink ref="F13" r:id="rId22" xr:uid="{A0B1040B-7D7D-4631-91D9-078DD225144C}"/>
    <hyperlink ref="F29" r:id="rId23" xr:uid="{81C0AE91-D93D-4F80-A8BB-3797DEC4F92A}"/>
    <hyperlink ref="F41" r:id="rId24" xr:uid="{3FC8D872-7B47-4316-BEC3-94817B7A530B}"/>
    <hyperlink ref="F39" r:id="rId25" xr:uid="{DFAA9B7C-5CF2-4F84-B788-9AD8DE468974}"/>
    <hyperlink ref="F30" r:id="rId26" xr:uid="{A4273F53-3DA7-4E11-8329-3D251B10D2F9}"/>
    <hyperlink ref="F31" r:id="rId27" xr:uid="{36EB1A1E-7315-4B6F-B445-E9F3BAC13938}"/>
    <hyperlink ref="F32" r:id="rId28" xr:uid="{9995A365-1C86-4CF3-9445-FD7292B19DFE}"/>
    <hyperlink ref="F33" r:id="rId29" xr:uid="{0B383569-EF93-475F-AEAE-F12D2D5E96AA}"/>
    <hyperlink ref="F34" r:id="rId30" xr:uid="{997956EB-B08E-46A7-8C65-20E8F2989E6C}"/>
    <hyperlink ref="F35" r:id="rId31" xr:uid="{DF1E3A64-42A0-4A0E-B34A-A8B5212591D2}"/>
    <hyperlink ref="F36" r:id="rId32" xr:uid="{590FC0C6-2C32-422F-BDEE-229D64A3B8D3}"/>
    <hyperlink ref="F37" r:id="rId33" xr:uid="{7608DF1E-97CD-4F6D-925D-395935D5DC14}"/>
    <hyperlink ref="F44" r:id="rId34" xr:uid="{415A4289-F9D7-425D-99A1-6FC79A039462}"/>
    <hyperlink ref="F17" r:id="rId35" xr:uid="{0D2257CE-E8DD-4EFE-9668-DF0A7AEFCC12}"/>
    <hyperlink ref="F18" r:id="rId36" xr:uid="{DDFC301F-3FD0-4352-8373-EED61D4FF75A}"/>
    <hyperlink ref="F48" r:id="rId37" xr:uid="{DE4CD330-403A-4AAF-A734-60508E9D910C}"/>
    <hyperlink ref="F50" r:id="rId38" xr:uid="{24900172-738D-4B01-8C7F-14BE8AA16CAC}"/>
    <hyperlink ref="F51" r:id="rId39" xr:uid="{AB235FE1-4A56-4503-89D3-53E7000CB7C6}"/>
    <hyperlink ref="F49" r:id="rId40" xr:uid="{AD3FA60C-10D5-4E86-860C-8270522B2EED}"/>
    <hyperlink ref="F53" r:id="rId41" xr:uid="{8B45F301-634F-47A0-93E4-D28A24E7CA2A}"/>
    <hyperlink ref="F52" r:id="rId42" xr:uid="{2D9EED8A-D2EA-4C06-90D1-4AA137A284D7}"/>
    <hyperlink ref="F58" r:id="rId43" xr:uid="{AF1E599E-6602-4484-B9E9-E2C02F44155B}"/>
    <hyperlink ref="F57" r:id="rId44" xr:uid="{A41D7CDE-CC26-4631-86C6-3F62DB250EBE}"/>
    <hyperlink ref="F60" r:id="rId45" xr:uid="{03B174E2-01C2-4F57-A189-B88D5996B7D0}"/>
    <hyperlink ref="F61" r:id="rId46" xr:uid="{9D9C8B73-0C6C-416F-93D6-0D336D3C2D4B}"/>
    <hyperlink ref="F59" r:id="rId47" xr:uid="{91D9C192-EB11-4F90-885F-E6435EACC040}"/>
    <hyperlink ref="F55" r:id="rId48" xr:uid="{BCBB52B8-13BC-4E2B-9FC2-EF7320EC2C05}"/>
    <hyperlink ref="F56" r:id="rId49" xr:uid="{D5280563-2425-44F1-8631-23F61678B9DE}"/>
    <hyperlink ref="F64" r:id="rId50" xr:uid="{B9C41677-5EB2-416C-BBBC-6F5C3806D20E}"/>
    <hyperlink ref="F65" r:id="rId51" xr:uid="{87D06E8C-A832-404A-B48C-E857980D8FE3}"/>
    <hyperlink ref="F66" r:id="rId52" xr:uid="{CD097210-3381-4DCC-AAD0-5E421E081570}"/>
    <hyperlink ref="F68" r:id="rId53" xr:uid="{219AB5B5-5CA4-4B8F-99A2-6BFA536FA0CA}"/>
    <hyperlink ref="F69" r:id="rId54" xr:uid="{A3CDD925-0BCB-4592-BEE5-02D2712E6B0C}"/>
    <hyperlink ref="F70" r:id="rId55" xr:uid="{8387B1D3-D5FA-494E-94A7-8B30AABE82C4}"/>
    <hyperlink ref="F71" r:id="rId56" xr:uid="{E8828D6F-0020-4164-91F6-E2319D5F4F46}"/>
    <hyperlink ref="F72" r:id="rId57" xr:uid="{94364D55-56A1-4593-B9C4-B68406DE082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6AB8D-D85E-4312-A0BD-27376AB0FF01}">
  <dimension ref="A1:L110"/>
  <sheetViews>
    <sheetView zoomScale="60" zoomScaleNormal="70" workbookViewId="0">
      <pane ySplit="1" topLeftCell="A2" activePane="bottomLeft" state="frozen"/>
      <selection activeCell="B1" sqref="B1"/>
      <selection pane="bottomLeft" sqref="A1:H1"/>
    </sheetView>
  </sheetViews>
  <sheetFormatPr defaultRowHeight="18.5" x14ac:dyDescent="0.35"/>
  <cols>
    <col min="1" max="1" width="26.7265625" style="13" customWidth="1"/>
    <col min="2" max="2" width="29.1796875" style="13" customWidth="1"/>
    <col min="3" max="3" width="24.08984375" style="13" customWidth="1"/>
    <col min="4" max="4" width="19.1796875" style="20" customWidth="1"/>
    <col min="5" max="5" width="16.36328125" style="20" customWidth="1"/>
    <col min="6" max="6" width="19" style="13" customWidth="1"/>
    <col min="7" max="7" width="33.453125" style="20" customWidth="1"/>
    <col min="8" max="8" width="64.81640625" style="13" customWidth="1"/>
    <col min="9" max="9" width="31.54296875" style="13" customWidth="1"/>
    <col min="10" max="10" width="23.36328125" customWidth="1"/>
    <col min="11" max="11" width="18.453125" customWidth="1"/>
    <col min="12" max="12" width="23.36328125" customWidth="1"/>
    <col min="13" max="13" width="16.90625" customWidth="1"/>
    <col min="14" max="14" width="15.36328125" customWidth="1"/>
    <col min="15" max="15" width="17.7265625" customWidth="1"/>
  </cols>
  <sheetData>
    <row r="1" spans="1:12" x14ac:dyDescent="0.35">
      <c r="A1" s="9" t="s">
        <v>635</v>
      </c>
      <c r="B1" s="9" t="s">
        <v>643</v>
      </c>
      <c r="C1" s="9" t="s">
        <v>644</v>
      </c>
      <c r="D1" s="18" t="s">
        <v>652</v>
      </c>
      <c r="E1" s="18" t="s">
        <v>653</v>
      </c>
      <c r="F1" s="9" t="s">
        <v>254</v>
      </c>
      <c r="G1" s="18" t="s">
        <v>2</v>
      </c>
      <c r="H1" s="84" t="s">
        <v>645</v>
      </c>
      <c r="I1" s="83"/>
      <c r="J1" s="64"/>
      <c r="K1" s="64"/>
      <c r="L1" s="64"/>
    </row>
    <row r="2" spans="1:12" ht="37" x14ac:dyDescent="0.35">
      <c r="A2" s="5" t="s">
        <v>255</v>
      </c>
      <c r="B2" s="16" t="s">
        <v>256</v>
      </c>
      <c r="C2" s="16" t="s">
        <v>654</v>
      </c>
      <c r="D2" s="19" t="s">
        <v>257</v>
      </c>
      <c r="E2" s="19" t="s">
        <v>258</v>
      </c>
      <c r="F2" s="5" t="s">
        <v>256</v>
      </c>
      <c r="G2" s="30" t="s">
        <v>259</v>
      </c>
      <c r="H2" s="85"/>
      <c r="I2" s="86"/>
    </row>
    <row r="3" spans="1:12" ht="29" x14ac:dyDescent="0.35">
      <c r="A3" s="5" t="s">
        <v>260</v>
      </c>
      <c r="B3" s="16" t="s">
        <v>261</v>
      </c>
      <c r="C3" s="16" t="s">
        <v>654</v>
      </c>
      <c r="D3" s="19" t="s">
        <v>262</v>
      </c>
      <c r="E3" s="19" t="s">
        <v>263</v>
      </c>
      <c r="F3" s="5" t="s">
        <v>261</v>
      </c>
      <c r="G3" s="32" t="s">
        <v>264</v>
      </c>
      <c r="H3" s="85"/>
      <c r="I3" s="86"/>
    </row>
    <row r="4" spans="1:12" x14ac:dyDescent="0.35">
      <c r="A4" s="5" t="s">
        <v>265</v>
      </c>
      <c r="B4" s="16" t="s">
        <v>266</v>
      </c>
      <c r="C4" s="16" t="s">
        <v>654</v>
      </c>
      <c r="D4" s="19" t="s">
        <v>267</v>
      </c>
      <c r="E4" s="19" t="s">
        <v>268</v>
      </c>
      <c r="F4" s="5" t="s">
        <v>266</v>
      </c>
      <c r="G4" s="47"/>
      <c r="H4" s="85"/>
      <c r="I4" s="86"/>
    </row>
    <row r="5" spans="1:12" ht="29" x14ac:dyDescent="0.35">
      <c r="A5" s="5" t="s">
        <v>269</v>
      </c>
      <c r="B5" s="16" t="s">
        <v>270</v>
      </c>
      <c r="C5" s="16" t="s">
        <v>654</v>
      </c>
      <c r="D5" s="19" t="s">
        <v>271</v>
      </c>
      <c r="E5" s="19" t="s">
        <v>272</v>
      </c>
      <c r="F5" s="5" t="s">
        <v>270</v>
      </c>
      <c r="G5" s="32" t="s">
        <v>273</v>
      </c>
      <c r="H5" s="85"/>
      <c r="I5" s="86"/>
    </row>
    <row r="6" spans="1:12" ht="29" x14ac:dyDescent="0.35">
      <c r="A6" s="5" t="s">
        <v>274</v>
      </c>
      <c r="B6" s="16" t="s">
        <v>275</v>
      </c>
      <c r="C6" s="16" t="s">
        <v>654</v>
      </c>
      <c r="D6" s="19" t="s">
        <v>276</v>
      </c>
      <c r="E6" s="19" t="s">
        <v>277</v>
      </c>
      <c r="F6" s="5" t="s">
        <v>275</v>
      </c>
      <c r="G6" s="32" t="s">
        <v>278</v>
      </c>
      <c r="H6" s="85"/>
      <c r="I6" s="86"/>
    </row>
    <row r="7" spans="1:12" ht="29" x14ac:dyDescent="0.35">
      <c r="A7" s="5" t="s">
        <v>279</v>
      </c>
      <c r="B7" s="16" t="s">
        <v>280</v>
      </c>
      <c r="C7" s="16" t="s">
        <v>654</v>
      </c>
      <c r="D7" s="19" t="s">
        <v>281</v>
      </c>
      <c r="E7" s="19" t="s">
        <v>282</v>
      </c>
      <c r="F7" s="5" t="s">
        <v>280</v>
      </c>
      <c r="G7" s="32" t="s">
        <v>283</v>
      </c>
      <c r="H7" s="85"/>
      <c r="I7" s="86"/>
    </row>
    <row r="8" spans="1:12" ht="64.5" customHeight="1" x14ac:dyDescent="0.35">
      <c r="A8" s="5" t="s">
        <v>284</v>
      </c>
      <c r="B8" s="16" t="s">
        <v>84</v>
      </c>
      <c r="C8" s="16" t="s">
        <v>654</v>
      </c>
      <c r="D8" s="19" t="s">
        <v>285</v>
      </c>
      <c r="E8" s="19" t="s">
        <v>286</v>
      </c>
      <c r="F8" s="5" t="s">
        <v>84</v>
      </c>
      <c r="G8" s="32" t="s">
        <v>287</v>
      </c>
      <c r="H8" s="85"/>
      <c r="I8" s="86"/>
    </row>
    <row r="9" spans="1:12" ht="125.5" customHeight="1" x14ac:dyDescent="0.35">
      <c r="A9" s="5" t="s">
        <v>288</v>
      </c>
      <c r="B9" s="16" t="s">
        <v>12</v>
      </c>
      <c r="C9" s="16" t="s">
        <v>654</v>
      </c>
      <c r="D9" s="19" t="s">
        <v>289</v>
      </c>
      <c r="E9" s="19" t="s">
        <v>290</v>
      </c>
      <c r="F9" s="5" t="s">
        <v>12</v>
      </c>
      <c r="G9" s="32" t="s">
        <v>291</v>
      </c>
      <c r="H9" s="85"/>
      <c r="I9" s="86"/>
    </row>
    <row r="10" spans="1:12" ht="55.5" x14ac:dyDescent="0.35">
      <c r="A10" s="5" t="s">
        <v>330</v>
      </c>
      <c r="B10" s="17" t="s">
        <v>108</v>
      </c>
      <c r="C10" s="17" t="s">
        <v>769</v>
      </c>
      <c r="D10" s="19" t="s">
        <v>331</v>
      </c>
      <c r="E10" s="19" t="s">
        <v>332</v>
      </c>
      <c r="F10" s="5" t="s">
        <v>12</v>
      </c>
      <c r="G10" s="32" t="s">
        <v>333</v>
      </c>
      <c r="H10" s="5" t="s">
        <v>799</v>
      </c>
      <c r="I10" s="86"/>
    </row>
    <row r="11" spans="1:12" ht="37" x14ac:dyDescent="0.35">
      <c r="A11" s="5" t="s">
        <v>334</v>
      </c>
      <c r="B11" s="16" t="s">
        <v>112</v>
      </c>
      <c r="C11" s="17" t="s">
        <v>769</v>
      </c>
      <c r="D11" s="19" t="s">
        <v>335</v>
      </c>
      <c r="E11" s="19" t="s">
        <v>336</v>
      </c>
      <c r="F11" s="5" t="s">
        <v>12</v>
      </c>
      <c r="G11" s="32" t="s">
        <v>337</v>
      </c>
      <c r="H11" s="5" t="s">
        <v>800</v>
      </c>
      <c r="I11" s="86"/>
    </row>
    <row r="12" spans="1:12" ht="37" x14ac:dyDescent="0.35">
      <c r="A12" s="5" t="s">
        <v>1294</v>
      </c>
      <c r="B12" s="16" t="s">
        <v>114</v>
      </c>
      <c r="C12" s="17" t="s">
        <v>769</v>
      </c>
      <c r="D12" s="19" t="s">
        <v>339</v>
      </c>
      <c r="E12" s="19" t="s">
        <v>340</v>
      </c>
      <c r="F12" s="5" t="s">
        <v>12</v>
      </c>
      <c r="G12" s="32" t="s">
        <v>341</v>
      </c>
      <c r="H12" s="5" t="s">
        <v>800</v>
      </c>
      <c r="I12" s="86"/>
    </row>
    <row r="13" spans="1:12" ht="55.5" x14ac:dyDescent="0.35">
      <c r="A13" s="5" t="s">
        <v>342</v>
      </c>
      <c r="B13" s="16" t="s">
        <v>117</v>
      </c>
      <c r="C13" s="17" t="s">
        <v>626</v>
      </c>
      <c r="D13" s="19" t="s">
        <v>343</v>
      </c>
      <c r="E13" s="19" t="s">
        <v>344</v>
      </c>
      <c r="F13" s="5" t="s">
        <v>12</v>
      </c>
      <c r="G13" s="32" t="s">
        <v>345</v>
      </c>
      <c r="H13" s="5" t="s">
        <v>837</v>
      </c>
      <c r="I13" s="86"/>
    </row>
    <row r="14" spans="1:12" ht="37" x14ac:dyDescent="0.35">
      <c r="A14" s="5" t="s">
        <v>346</v>
      </c>
      <c r="B14" s="16" t="s">
        <v>347</v>
      </c>
      <c r="C14" s="17" t="s">
        <v>769</v>
      </c>
      <c r="D14" s="19" t="s">
        <v>348</v>
      </c>
      <c r="E14" s="19" t="s">
        <v>349</v>
      </c>
      <c r="F14" s="5" t="s">
        <v>12</v>
      </c>
      <c r="G14" s="32" t="s">
        <v>122</v>
      </c>
      <c r="H14" s="5" t="s">
        <v>800</v>
      </c>
      <c r="I14" s="87"/>
    </row>
    <row r="15" spans="1:12" ht="37" x14ac:dyDescent="0.35">
      <c r="A15" s="5" t="s">
        <v>350</v>
      </c>
      <c r="B15" s="16" t="s">
        <v>124</v>
      </c>
      <c r="C15" s="17" t="s">
        <v>769</v>
      </c>
      <c r="D15" s="19" t="s">
        <v>351</v>
      </c>
      <c r="E15" s="19" t="s">
        <v>352</v>
      </c>
      <c r="F15" s="5" t="s">
        <v>12</v>
      </c>
      <c r="G15" s="32" t="s">
        <v>353</v>
      </c>
      <c r="H15" s="5" t="s">
        <v>800</v>
      </c>
      <c r="I15" s="87"/>
    </row>
    <row r="16" spans="1:12" ht="37" x14ac:dyDescent="0.35">
      <c r="A16" s="5" t="s">
        <v>354</v>
      </c>
      <c r="B16" s="16" t="s">
        <v>127</v>
      </c>
      <c r="C16" s="17" t="s">
        <v>769</v>
      </c>
      <c r="D16" s="19" t="s">
        <v>355</v>
      </c>
      <c r="E16" s="19" t="s">
        <v>356</v>
      </c>
      <c r="F16" s="5" t="s">
        <v>256</v>
      </c>
      <c r="G16" s="32" t="s">
        <v>357</v>
      </c>
      <c r="H16" s="5" t="s">
        <v>800</v>
      </c>
      <c r="I16" s="87"/>
    </row>
    <row r="17" spans="1:11" ht="37" x14ac:dyDescent="0.35">
      <c r="A17" s="5" t="s">
        <v>358</v>
      </c>
      <c r="B17" s="16" t="s">
        <v>130</v>
      </c>
      <c r="C17" s="17" t="s">
        <v>769</v>
      </c>
      <c r="D17" s="19" t="s">
        <v>359</v>
      </c>
      <c r="E17" s="19" t="s">
        <v>360</v>
      </c>
      <c r="F17" s="5" t="s">
        <v>261</v>
      </c>
      <c r="G17" s="32" t="s">
        <v>361</v>
      </c>
      <c r="H17" s="5" t="s">
        <v>800</v>
      </c>
      <c r="I17" s="87"/>
    </row>
    <row r="18" spans="1:11" ht="55.5" x14ac:dyDescent="0.35">
      <c r="A18" s="5" t="s">
        <v>362</v>
      </c>
      <c r="B18" s="16" t="s">
        <v>133</v>
      </c>
      <c r="C18" s="16" t="s">
        <v>626</v>
      </c>
      <c r="D18" s="19" t="s">
        <v>363</v>
      </c>
      <c r="E18" s="19" t="s">
        <v>364</v>
      </c>
      <c r="F18" s="5" t="s">
        <v>266</v>
      </c>
      <c r="G18" s="47"/>
      <c r="H18" s="13" t="s">
        <v>806</v>
      </c>
      <c r="I18" s="88"/>
    </row>
    <row r="19" spans="1:11" ht="55.5" x14ac:dyDescent="0.35">
      <c r="A19" s="5" t="s">
        <v>365</v>
      </c>
      <c r="B19" s="5" t="s">
        <v>135</v>
      </c>
      <c r="C19" s="16" t="s">
        <v>626</v>
      </c>
      <c r="D19" s="19" t="s">
        <v>366</v>
      </c>
      <c r="E19" s="19" t="s">
        <v>367</v>
      </c>
      <c r="F19" s="5" t="s">
        <v>12</v>
      </c>
      <c r="G19" s="32" t="s">
        <v>368</v>
      </c>
      <c r="H19" s="5" t="s">
        <v>802</v>
      </c>
      <c r="I19" s="87"/>
    </row>
    <row r="20" spans="1:11" ht="55.5" x14ac:dyDescent="0.35">
      <c r="A20" s="5" t="s">
        <v>369</v>
      </c>
      <c r="B20" s="16" t="s">
        <v>138</v>
      </c>
      <c r="C20" s="16" t="s">
        <v>626</v>
      </c>
      <c r="D20" s="19" t="s">
        <v>370</v>
      </c>
      <c r="E20" s="19" t="s">
        <v>371</v>
      </c>
      <c r="F20" s="5" t="s">
        <v>275</v>
      </c>
      <c r="G20" s="47"/>
      <c r="H20" s="5" t="s">
        <v>805</v>
      </c>
      <c r="I20" s="88"/>
    </row>
    <row r="21" spans="1:11" ht="55.5" x14ac:dyDescent="0.35">
      <c r="A21" s="5" t="s">
        <v>372</v>
      </c>
      <c r="B21" s="16" t="s">
        <v>373</v>
      </c>
      <c r="C21" s="16" t="s">
        <v>626</v>
      </c>
      <c r="D21" s="19" t="s">
        <v>374</v>
      </c>
      <c r="E21" s="19" t="s">
        <v>375</v>
      </c>
      <c r="F21" s="5" t="s">
        <v>280</v>
      </c>
      <c r="G21" s="47"/>
      <c r="H21" s="13" t="s">
        <v>804</v>
      </c>
      <c r="I21" s="88"/>
    </row>
    <row r="22" spans="1:11" ht="55.5" x14ac:dyDescent="0.35">
      <c r="A22" s="5" t="s">
        <v>376</v>
      </c>
      <c r="B22" s="16" t="s">
        <v>377</v>
      </c>
      <c r="C22" s="16" t="s">
        <v>655</v>
      </c>
      <c r="D22" s="19" t="s">
        <v>378</v>
      </c>
      <c r="E22" s="19" t="s">
        <v>379</v>
      </c>
      <c r="F22" s="5" t="s">
        <v>12</v>
      </c>
      <c r="G22" s="32" t="s">
        <v>380</v>
      </c>
      <c r="H22" s="5" t="s">
        <v>803</v>
      </c>
      <c r="I22" s="87"/>
    </row>
    <row r="23" spans="1:11" ht="37" x14ac:dyDescent="0.35">
      <c r="A23" s="5" t="s">
        <v>381</v>
      </c>
      <c r="B23" s="60" t="s">
        <v>148</v>
      </c>
      <c r="C23" s="5" t="s">
        <v>769</v>
      </c>
      <c r="D23" s="61" t="s">
        <v>382</v>
      </c>
      <c r="E23" s="19" t="s">
        <v>383</v>
      </c>
      <c r="F23" s="5" t="s">
        <v>12</v>
      </c>
      <c r="G23" s="32" t="s">
        <v>384</v>
      </c>
      <c r="H23" s="5" t="s">
        <v>151</v>
      </c>
      <c r="I23" s="87"/>
    </row>
    <row r="24" spans="1:11" x14ac:dyDescent="0.35">
      <c r="A24" s="7" t="s">
        <v>385</v>
      </c>
      <c r="B24" s="21" t="s">
        <v>386</v>
      </c>
      <c r="C24" s="7"/>
      <c r="D24" s="61"/>
      <c r="E24" s="19"/>
      <c r="F24" s="5"/>
      <c r="G24" s="19"/>
      <c r="I24" s="88"/>
    </row>
    <row r="25" spans="1:11" ht="55.5" x14ac:dyDescent="0.35">
      <c r="A25" s="25" t="s">
        <v>156</v>
      </c>
      <c r="B25" s="5" t="s">
        <v>387</v>
      </c>
      <c r="C25" s="5" t="s">
        <v>655</v>
      </c>
      <c r="D25" s="20" t="s">
        <v>388</v>
      </c>
      <c r="E25" s="26" t="s">
        <v>389</v>
      </c>
      <c r="F25" s="25" t="s">
        <v>390</v>
      </c>
      <c r="G25" s="34" t="s">
        <v>391</v>
      </c>
      <c r="H25" s="5" t="s">
        <v>157</v>
      </c>
      <c r="I25" s="87"/>
    </row>
    <row r="26" spans="1:11" ht="74" x14ac:dyDescent="0.35">
      <c r="A26" s="5" t="s">
        <v>161</v>
      </c>
      <c r="B26" s="5" t="s">
        <v>392</v>
      </c>
      <c r="C26" s="16" t="s">
        <v>655</v>
      </c>
      <c r="D26" s="19" t="s">
        <v>393</v>
      </c>
      <c r="E26" s="19" t="s">
        <v>394</v>
      </c>
      <c r="F26" s="5" t="s">
        <v>12</v>
      </c>
      <c r="G26" s="32" t="s">
        <v>395</v>
      </c>
      <c r="H26" s="5" t="s">
        <v>162</v>
      </c>
      <c r="I26" s="87"/>
    </row>
    <row r="27" spans="1:11" ht="55.5" x14ac:dyDescent="0.35">
      <c r="A27" s="27" t="s">
        <v>167</v>
      </c>
      <c r="B27" s="5" t="s">
        <v>164</v>
      </c>
      <c r="C27" s="5" t="s">
        <v>655</v>
      </c>
      <c r="D27" s="28" t="s">
        <v>396</v>
      </c>
      <c r="E27" s="28" t="s">
        <v>397</v>
      </c>
      <c r="F27" s="27" t="s">
        <v>12</v>
      </c>
      <c r="G27" s="35" t="s">
        <v>398</v>
      </c>
      <c r="H27" s="5" t="s">
        <v>807</v>
      </c>
      <c r="I27" s="87"/>
    </row>
    <row r="28" spans="1:11" ht="37" x14ac:dyDescent="0.35">
      <c r="A28" s="5" t="s">
        <v>399</v>
      </c>
      <c r="B28" s="16" t="s">
        <v>169</v>
      </c>
      <c r="C28" s="5" t="s">
        <v>655</v>
      </c>
      <c r="D28" s="19" t="s">
        <v>400</v>
      </c>
      <c r="E28" s="19" t="s">
        <v>401</v>
      </c>
      <c r="F28" s="5" t="s">
        <v>12</v>
      </c>
      <c r="G28" s="32" t="s">
        <v>402</v>
      </c>
      <c r="H28" s="5" t="s">
        <v>172</v>
      </c>
      <c r="I28" s="87"/>
    </row>
    <row r="29" spans="1:11" s="38" customFormat="1" x14ac:dyDescent="0.35">
      <c r="A29" s="36"/>
      <c r="B29" s="41"/>
      <c r="C29" s="41"/>
      <c r="D29" s="42"/>
      <c r="E29" s="42"/>
      <c r="F29" s="36"/>
      <c r="G29" s="43"/>
      <c r="H29" s="36"/>
      <c r="I29" s="91"/>
    </row>
    <row r="30" spans="1:11" ht="29" x14ac:dyDescent="0.35">
      <c r="A30" s="5" t="s">
        <v>292</v>
      </c>
      <c r="B30" s="16" t="s">
        <v>22</v>
      </c>
      <c r="C30" s="16" t="s">
        <v>654</v>
      </c>
      <c r="D30" s="19" t="s">
        <v>293</v>
      </c>
      <c r="E30" s="19" t="s">
        <v>294</v>
      </c>
      <c r="F30" s="5" t="s">
        <v>22</v>
      </c>
      <c r="G30" s="32" t="s">
        <v>295</v>
      </c>
      <c r="H30" s="5"/>
      <c r="I30" s="87"/>
      <c r="K30" s="82"/>
    </row>
    <row r="31" spans="1:11" ht="29" x14ac:dyDescent="0.35">
      <c r="A31" s="5" t="s">
        <v>296</v>
      </c>
      <c r="B31" s="16" t="s">
        <v>297</v>
      </c>
      <c r="C31" s="16" t="s">
        <v>654</v>
      </c>
      <c r="D31" s="19" t="s">
        <v>298</v>
      </c>
      <c r="E31" s="19" t="s">
        <v>299</v>
      </c>
      <c r="F31" s="5" t="s">
        <v>297</v>
      </c>
      <c r="G31" s="33" t="s">
        <v>300</v>
      </c>
      <c r="H31" s="73"/>
      <c r="I31" s="87"/>
      <c r="K31" s="82"/>
    </row>
    <row r="32" spans="1:11" ht="29" x14ac:dyDescent="0.35">
      <c r="A32" s="5" t="s">
        <v>301</v>
      </c>
      <c r="B32" s="16" t="s">
        <v>302</v>
      </c>
      <c r="C32" s="16" t="s">
        <v>654</v>
      </c>
      <c r="D32" s="19" t="s">
        <v>303</v>
      </c>
      <c r="E32" s="19" t="s">
        <v>304</v>
      </c>
      <c r="F32" s="5" t="s">
        <v>302</v>
      </c>
      <c r="G32" s="32" t="s">
        <v>305</v>
      </c>
      <c r="H32" s="73"/>
      <c r="I32" s="87"/>
    </row>
    <row r="33" spans="1:12" ht="55.5" x14ac:dyDescent="0.35">
      <c r="A33" s="5" t="s">
        <v>403</v>
      </c>
      <c r="B33" s="16" t="s">
        <v>179</v>
      </c>
      <c r="C33" s="16" t="s">
        <v>769</v>
      </c>
      <c r="D33" s="19" t="s">
        <v>404</v>
      </c>
      <c r="E33" s="19" t="s">
        <v>405</v>
      </c>
      <c r="F33" s="5" t="s">
        <v>22</v>
      </c>
      <c r="G33" s="32" t="s">
        <v>406</v>
      </c>
      <c r="H33" s="5" t="s">
        <v>809</v>
      </c>
      <c r="I33" s="87"/>
    </row>
    <row r="34" spans="1:12" ht="55.5" x14ac:dyDescent="0.35">
      <c r="A34" s="5" t="s">
        <v>407</v>
      </c>
      <c r="B34" s="16" t="s">
        <v>185</v>
      </c>
      <c r="C34" s="16" t="s">
        <v>769</v>
      </c>
      <c r="D34" s="19" t="s">
        <v>408</v>
      </c>
      <c r="E34" s="19" t="s">
        <v>409</v>
      </c>
      <c r="F34" s="5" t="s">
        <v>22</v>
      </c>
      <c r="G34" s="32" t="s">
        <v>410</v>
      </c>
      <c r="H34" s="5" t="s">
        <v>819</v>
      </c>
      <c r="I34" s="87"/>
    </row>
    <row r="35" spans="1:12" ht="129.5" x14ac:dyDescent="0.35">
      <c r="A35" s="5" t="s">
        <v>411</v>
      </c>
      <c r="B35" s="16" t="s">
        <v>412</v>
      </c>
      <c r="C35" s="5" t="s">
        <v>655</v>
      </c>
      <c r="D35" s="19" t="s">
        <v>413</v>
      </c>
      <c r="E35" s="19" t="s">
        <v>414</v>
      </c>
      <c r="F35" s="5" t="s">
        <v>22</v>
      </c>
      <c r="G35" s="33" t="s">
        <v>415</v>
      </c>
      <c r="H35" s="11" t="s">
        <v>1361</v>
      </c>
    </row>
    <row r="36" spans="1:12" ht="55.5" x14ac:dyDescent="0.35">
      <c r="A36" s="5" t="s">
        <v>416</v>
      </c>
      <c r="B36" s="16" t="s">
        <v>417</v>
      </c>
      <c r="C36" s="5" t="s">
        <v>655</v>
      </c>
      <c r="D36" s="19" t="s">
        <v>418</v>
      </c>
      <c r="E36" s="19" t="s">
        <v>419</v>
      </c>
      <c r="F36" s="5" t="s">
        <v>297</v>
      </c>
      <c r="G36" s="33" t="s">
        <v>420</v>
      </c>
      <c r="H36" s="13" t="s">
        <v>1362</v>
      </c>
      <c r="I36" s="87"/>
    </row>
    <row r="37" spans="1:12" ht="55.5" x14ac:dyDescent="0.35">
      <c r="A37" s="5" t="s">
        <v>421</v>
      </c>
      <c r="B37" s="16" t="s">
        <v>422</v>
      </c>
      <c r="C37" s="16" t="s">
        <v>626</v>
      </c>
      <c r="D37" s="19" t="s">
        <v>423</v>
      </c>
      <c r="E37" s="19" t="s">
        <v>424</v>
      </c>
      <c r="F37" s="5" t="s">
        <v>302</v>
      </c>
      <c r="G37" s="32" t="s">
        <v>425</v>
      </c>
      <c r="H37" s="11" t="s">
        <v>812</v>
      </c>
      <c r="I37" s="87"/>
    </row>
    <row r="38" spans="1:12" ht="74" x14ac:dyDescent="0.35">
      <c r="A38" s="5" t="s">
        <v>426</v>
      </c>
      <c r="B38" s="16" t="s">
        <v>195</v>
      </c>
      <c r="C38" s="16" t="s">
        <v>626</v>
      </c>
      <c r="D38" s="19" t="s">
        <v>427</v>
      </c>
      <c r="E38" s="19" t="s">
        <v>428</v>
      </c>
      <c r="F38" s="5" t="s">
        <v>22</v>
      </c>
      <c r="G38" s="32" t="s">
        <v>429</v>
      </c>
      <c r="H38" s="11" t="s">
        <v>813</v>
      </c>
      <c r="I38" s="87"/>
    </row>
    <row r="39" spans="1:12" s="38" customFormat="1" x14ac:dyDescent="0.35">
      <c r="A39" s="36"/>
      <c r="B39" s="41"/>
      <c r="C39" s="41"/>
      <c r="D39" s="42"/>
      <c r="E39" s="42"/>
      <c r="F39" s="36"/>
      <c r="G39" s="43"/>
      <c r="H39" s="74"/>
      <c r="I39" s="87"/>
      <c r="J39"/>
      <c r="K39"/>
      <c r="L39"/>
    </row>
    <row r="40" spans="1:12" ht="29" x14ac:dyDescent="0.35">
      <c r="A40" s="5" t="s">
        <v>306</v>
      </c>
      <c r="B40" s="16" t="s">
        <v>307</v>
      </c>
      <c r="C40" s="16" t="s">
        <v>654</v>
      </c>
      <c r="D40" s="19" t="s">
        <v>308</v>
      </c>
      <c r="E40" s="19" t="s">
        <v>309</v>
      </c>
      <c r="F40" s="16" t="s">
        <v>307</v>
      </c>
      <c r="G40" s="33" t="s">
        <v>310</v>
      </c>
      <c r="H40" s="60"/>
      <c r="I40" s="87"/>
    </row>
    <row r="41" spans="1:12" ht="29" x14ac:dyDescent="0.45">
      <c r="A41" s="53" t="s">
        <v>311</v>
      </c>
      <c r="B41" s="5" t="s">
        <v>72</v>
      </c>
      <c r="C41" s="16" t="s">
        <v>654</v>
      </c>
      <c r="D41" s="19" t="s">
        <v>312</v>
      </c>
      <c r="E41" s="19" t="s">
        <v>313</v>
      </c>
      <c r="F41" s="5" t="s">
        <v>72</v>
      </c>
      <c r="G41" s="33" t="s">
        <v>314</v>
      </c>
      <c r="H41" s="60"/>
      <c r="I41" s="87"/>
    </row>
    <row r="42" spans="1:12" ht="29" x14ac:dyDescent="0.45">
      <c r="A42" s="53" t="s">
        <v>315</v>
      </c>
      <c r="B42" s="5" t="s">
        <v>316</v>
      </c>
      <c r="C42" s="16" t="s">
        <v>654</v>
      </c>
      <c r="D42" s="54" t="s">
        <v>317</v>
      </c>
      <c r="E42" s="19" t="s">
        <v>318</v>
      </c>
      <c r="F42" s="5" t="s">
        <v>316</v>
      </c>
      <c r="G42" s="33" t="s">
        <v>319</v>
      </c>
      <c r="H42" s="60"/>
      <c r="I42" s="87"/>
    </row>
    <row r="43" spans="1:12" ht="29" x14ac:dyDescent="0.45">
      <c r="A43" s="53" t="s">
        <v>320</v>
      </c>
      <c r="B43" s="5" t="s">
        <v>321</v>
      </c>
      <c r="C43" s="16" t="s">
        <v>654</v>
      </c>
      <c r="D43" s="54" t="s">
        <v>322</v>
      </c>
      <c r="E43" s="19" t="s">
        <v>323</v>
      </c>
      <c r="F43" s="5" t="s">
        <v>321</v>
      </c>
      <c r="G43" s="33" t="s">
        <v>324</v>
      </c>
      <c r="H43" s="60"/>
      <c r="I43" s="87"/>
    </row>
    <row r="44" spans="1:12" ht="111" x14ac:dyDescent="0.35">
      <c r="A44" s="3" t="s">
        <v>325</v>
      </c>
      <c r="B44" s="5" t="s">
        <v>326</v>
      </c>
      <c r="C44" s="16" t="s">
        <v>654</v>
      </c>
      <c r="D44" s="19" t="s">
        <v>327</v>
      </c>
      <c r="E44" s="19" t="s">
        <v>328</v>
      </c>
      <c r="F44" s="5" t="s">
        <v>326</v>
      </c>
      <c r="G44" s="33" t="s">
        <v>329</v>
      </c>
      <c r="H44" s="11" t="s">
        <v>766</v>
      </c>
      <c r="I44" s="87"/>
    </row>
    <row r="45" spans="1:12" ht="74" x14ac:dyDescent="0.35">
      <c r="A45" s="5" t="s">
        <v>200</v>
      </c>
      <c r="B45" s="5" t="s">
        <v>198</v>
      </c>
      <c r="C45" s="5" t="s">
        <v>655</v>
      </c>
      <c r="D45" s="19" t="s">
        <v>430</v>
      </c>
      <c r="E45" s="19" t="s">
        <v>431</v>
      </c>
      <c r="F45" s="5" t="s">
        <v>307</v>
      </c>
      <c r="G45" s="32" t="s">
        <v>432</v>
      </c>
      <c r="H45" s="76" t="s">
        <v>742</v>
      </c>
      <c r="I45" s="88"/>
    </row>
    <row r="46" spans="1:12" ht="129.5" x14ac:dyDescent="0.35">
      <c r="A46" s="5" t="s">
        <v>433</v>
      </c>
      <c r="B46" s="13" t="s">
        <v>1364</v>
      </c>
      <c r="C46" s="5" t="s">
        <v>655</v>
      </c>
      <c r="D46" s="19" t="s">
        <v>413</v>
      </c>
      <c r="E46" s="19" t="s">
        <v>414</v>
      </c>
      <c r="F46" s="5" t="s">
        <v>22</v>
      </c>
      <c r="G46" s="33" t="s">
        <v>415</v>
      </c>
      <c r="H46" s="76" t="s">
        <v>1361</v>
      </c>
      <c r="I46" s="88"/>
    </row>
    <row r="47" spans="1:12" ht="55.5" x14ac:dyDescent="0.35">
      <c r="A47" s="5" t="s">
        <v>434</v>
      </c>
      <c r="B47" s="5" t="s">
        <v>1365</v>
      </c>
      <c r="C47" s="5" t="s">
        <v>655</v>
      </c>
      <c r="D47" s="19" t="s">
        <v>418</v>
      </c>
      <c r="E47" s="19" t="s">
        <v>419</v>
      </c>
      <c r="F47" s="5" t="s">
        <v>297</v>
      </c>
      <c r="G47" s="33" t="s">
        <v>420</v>
      </c>
      <c r="H47" s="76" t="s">
        <v>1363</v>
      </c>
    </row>
    <row r="48" spans="1:12" ht="111" x14ac:dyDescent="0.35">
      <c r="A48" s="5" t="s">
        <v>207</v>
      </c>
      <c r="B48" s="5" t="s">
        <v>205</v>
      </c>
      <c r="C48" s="5" t="s">
        <v>626</v>
      </c>
      <c r="D48" s="54" t="s">
        <v>435</v>
      </c>
      <c r="E48" s="19" t="s">
        <v>436</v>
      </c>
      <c r="F48" s="5" t="s">
        <v>84</v>
      </c>
      <c r="G48" s="32" t="s">
        <v>437</v>
      </c>
      <c r="H48" s="76" t="s">
        <v>814</v>
      </c>
      <c r="I48" s="88"/>
    </row>
    <row r="49" spans="1:12" ht="55.5" x14ac:dyDescent="0.35">
      <c r="A49" s="5" t="s">
        <v>211</v>
      </c>
      <c r="B49" s="5" t="s">
        <v>209</v>
      </c>
      <c r="C49" s="5" t="s">
        <v>626</v>
      </c>
      <c r="D49" s="55" t="s">
        <v>438</v>
      </c>
      <c r="E49" s="19" t="s">
        <v>439</v>
      </c>
      <c r="F49" s="5" t="s">
        <v>321</v>
      </c>
      <c r="G49" s="32" t="s">
        <v>440</v>
      </c>
      <c r="H49" s="76" t="s">
        <v>815</v>
      </c>
      <c r="I49" s="88"/>
    </row>
    <row r="50" spans="1:12" ht="74" x14ac:dyDescent="0.35">
      <c r="A50" s="5" t="s">
        <v>215</v>
      </c>
      <c r="B50" s="5" t="s">
        <v>213</v>
      </c>
      <c r="C50" s="5" t="s">
        <v>769</v>
      </c>
      <c r="D50" s="19" t="s">
        <v>441</v>
      </c>
      <c r="E50" s="19" t="s">
        <v>442</v>
      </c>
      <c r="F50" s="5" t="s">
        <v>72</v>
      </c>
      <c r="G50" s="32" t="s">
        <v>443</v>
      </c>
      <c r="H50" s="76" t="s">
        <v>816</v>
      </c>
      <c r="I50" s="88"/>
    </row>
    <row r="51" spans="1:12" ht="37" x14ac:dyDescent="0.35">
      <c r="A51" s="5" t="s">
        <v>219</v>
      </c>
      <c r="B51" s="5" t="s">
        <v>217</v>
      </c>
      <c r="C51" s="5" t="s">
        <v>769</v>
      </c>
      <c r="D51" s="19" t="s">
        <v>444</v>
      </c>
      <c r="E51" s="19" t="s">
        <v>445</v>
      </c>
      <c r="F51" s="5" t="s">
        <v>72</v>
      </c>
      <c r="G51" s="32" t="s">
        <v>446</v>
      </c>
      <c r="H51" s="76" t="s">
        <v>817</v>
      </c>
      <c r="I51" s="88"/>
    </row>
    <row r="52" spans="1:12" ht="37" x14ac:dyDescent="0.35">
      <c r="A52" s="5" t="s">
        <v>223</v>
      </c>
      <c r="B52" s="5" t="s">
        <v>221</v>
      </c>
      <c r="C52" s="5" t="s">
        <v>769</v>
      </c>
      <c r="D52" s="19" t="s">
        <v>447</v>
      </c>
      <c r="E52" s="19" t="s">
        <v>448</v>
      </c>
      <c r="F52" s="5" t="s">
        <v>72</v>
      </c>
      <c r="G52" s="32" t="s">
        <v>449</v>
      </c>
      <c r="H52" s="76" t="s">
        <v>818</v>
      </c>
      <c r="I52" s="88"/>
    </row>
    <row r="53" spans="1:12" ht="55.5" x14ac:dyDescent="0.35">
      <c r="A53" s="5" t="s">
        <v>227</v>
      </c>
      <c r="B53" s="5" t="s">
        <v>225</v>
      </c>
      <c r="C53" s="5" t="s">
        <v>769</v>
      </c>
      <c r="D53" s="19" t="s">
        <v>450</v>
      </c>
      <c r="E53" s="19" t="s">
        <v>451</v>
      </c>
      <c r="F53" s="5" t="s">
        <v>22</v>
      </c>
      <c r="G53" s="32" t="s">
        <v>452</v>
      </c>
      <c r="H53" s="76" t="s">
        <v>820</v>
      </c>
      <c r="I53" s="88"/>
    </row>
    <row r="54" spans="1:12" ht="55.5" x14ac:dyDescent="0.35">
      <c r="A54" s="5" t="s">
        <v>231</v>
      </c>
      <c r="B54" s="5" t="s">
        <v>229</v>
      </c>
      <c r="C54" s="5" t="s">
        <v>769</v>
      </c>
      <c r="D54" s="19" t="s">
        <v>453</v>
      </c>
      <c r="E54" s="19" t="s">
        <v>454</v>
      </c>
      <c r="F54" s="5" t="s">
        <v>22</v>
      </c>
      <c r="G54" s="32" t="s">
        <v>455</v>
      </c>
      <c r="H54" s="76" t="s">
        <v>756</v>
      </c>
      <c r="I54" s="88"/>
    </row>
    <row r="55" spans="1:12" ht="37" x14ac:dyDescent="0.35">
      <c r="A55" s="5" t="s">
        <v>234</v>
      </c>
      <c r="B55" s="5" t="s">
        <v>770</v>
      </c>
      <c r="C55" s="5" t="s">
        <v>769</v>
      </c>
      <c r="D55" s="79" t="s">
        <v>775</v>
      </c>
      <c r="E55" s="19" t="s">
        <v>772</v>
      </c>
      <c r="F55" s="5" t="s">
        <v>22</v>
      </c>
      <c r="G55" s="33" t="s">
        <v>771</v>
      </c>
      <c r="H55" s="76" t="s">
        <v>821</v>
      </c>
      <c r="I55" s="88"/>
    </row>
    <row r="56" spans="1:12" ht="92.5" x14ac:dyDescent="0.35">
      <c r="A56" s="5" t="s">
        <v>240</v>
      </c>
      <c r="B56" s="5" t="s">
        <v>239</v>
      </c>
      <c r="C56" s="5" t="s">
        <v>626</v>
      </c>
      <c r="D56" s="19" t="s">
        <v>773</v>
      </c>
      <c r="E56" s="19" t="s">
        <v>774</v>
      </c>
      <c r="F56" s="5" t="s">
        <v>84</v>
      </c>
      <c r="G56" s="47"/>
      <c r="H56" s="76" t="s">
        <v>758</v>
      </c>
      <c r="I56" s="88"/>
    </row>
    <row r="57" spans="1:12" ht="74" x14ac:dyDescent="0.35">
      <c r="A57" s="5" t="s">
        <v>244</v>
      </c>
      <c r="B57" s="5" t="s">
        <v>242</v>
      </c>
      <c r="C57" s="5" t="s">
        <v>626</v>
      </c>
      <c r="D57" s="19" t="s">
        <v>456</v>
      </c>
      <c r="E57" s="19" t="s">
        <v>457</v>
      </c>
      <c r="F57" s="5" t="s">
        <v>84</v>
      </c>
      <c r="G57" s="32" t="s">
        <v>458</v>
      </c>
      <c r="H57" s="76" t="s">
        <v>761</v>
      </c>
      <c r="I57" s="88"/>
    </row>
    <row r="58" spans="1:12" ht="37" x14ac:dyDescent="0.35">
      <c r="A58" s="5" t="s">
        <v>249</v>
      </c>
      <c r="B58" s="5" t="s">
        <v>246</v>
      </c>
      <c r="C58" s="5" t="s">
        <v>769</v>
      </c>
      <c r="D58" s="19" t="s">
        <v>459</v>
      </c>
      <c r="E58" s="19" t="s">
        <v>460</v>
      </c>
      <c r="F58" s="5" t="s">
        <v>316</v>
      </c>
      <c r="G58" s="32" t="s">
        <v>461</v>
      </c>
      <c r="H58" s="76" t="s">
        <v>822</v>
      </c>
      <c r="I58" s="88"/>
    </row>
    <row r="59" spans="1:12" ht="37" x14ac:dyDescent="0.35">
      <c r="A59" s="13" t="s">
        <v>253</v>
      </c>
      <c r="B59" s="5" t="s">
        <v>251</v>
      </c>
      <c r="C59" s="5" t="s">
        <v>769</v>
      </c>
      <c r="D59" s="19" t="s">
        <v>462</v>
      </c>
      <c r="E59" s="19" t="s">
        <v>463</v>
      </c>
      <c r="F59" s="5" t="s">
        <v>316</v>
      </c>
      <c r="G59" s="15" t="s">
        <v>464</v>
      </c>
      <c r="H59" s="76" t="s">
        <v>822</v>
      </c>
      <c r="I59" s="87"/>
    </row>
    <row r="60" spans="1:12" s="38" customFormat="1" x14ac:dyDescent="0.35">
      <c r="A60" s="52"/>
      <c r="B60" s="36"/>
      <c r="C60" s="36"/>
      <c r="D60" s="42"/>
      <c r="E60" s="42"/>
      <c r="F60" s="36"/>
      <c r="G60" s="42"/>
      <c r="H60" s="74"/>
      <c r="I60" s="88"/>
      <c r="J60"/>
      <c r="K60"/>
      <c r="L60"/>
    </row>
    <row r="61" spans="1:12" ht="29" x14ac:dyDescent="0.35">
      <c r="A61" s="73" t="s">
        <v>338</v>
      </c>
      <c r="B61" s="5" t="s">
        <v>97</v>
      </c>
      <c r="C61" s="5" t="s">
        <v>654</v>
      </c>
      <c r="D61" s="19" t="s">
        <v>853</v>
      </c>
      <c r="E61" s="19" t="s">
        <v>854</v>
      </c>
      <c r="F61" s="5" t="s">
        <v>97</v>
      </c>
      <c r="G61" s="32" t="s">
        <v>852</v>
      </c>
      <c r="H61" s="5"/>
      <c r="I61" s="123"/>
    </row>
    <row r="62" spans="1:12" ht="29" x14ac:dyDescent="0.35">
      <c r="A62" s="73" t="s">
        <v>872</v>
      </c>
      <c r="B62" s="5" t="s">
        <v>844</v>
      </c>
      <c r="C62" s="5" t="s">
        <v>654</v>
      </c>
      <c r="D62" s="19" t="s">
        <v>906</v>
      </c>
      <c r="E62" s="19" t="s">
        <v>907</v>
      </c>
      <c r="F62" s="5" t="s">
        <v>844</v>
      </c>
      <c r="G62" s="32" t="s">
        <v>905</v>
      </c>
      <c r="H62" s="5"/>
    </row>
    <row r="63" spans="1:12" ht="29" x14ac:dyDescent="0.35">
      <c r="A63" s="73" t="s">
        <v>871</v>
      </c>
      <c r="B63" s="5" t="s">
        <v>845</v>
      </c>
      <c r="C63" s="5" t="s">
        <v>654</v>
      </c>
      <c r="D63" s="19" t="s">
        <v>909</v>
      </c>
      <c r="E63" s="19" t="s">
        <v>910</v>
      </c>
      <c r="F63" s="5" t="s">
        <v>845</v>
      </c>
      <c r="G63" s="32" t="s">
        <v>908</v>
      </c>
      <c r="H63" s="5"/>
    </row>
    <row r="64" spans="1:12" ht="29" x14ac:dyDescent="0.35">
      <c r="A64" s="73" t="s">
        <v>896</v>
      </c>
      <c r="B64" s="5" t="s">
        <v>846</v>
      </c>
      <c r="C64" s="5" t="s">
        <v>654</v>
      </c>
      <c r="D64" s="19" t="s">
        <v>912</v>
      </c>
      <c r="E64" s="19" t="s">
        <v>913</v>
      </c>
      <c r="F64" s="5" t="s">
        <v>846</v>
      </c>
      <c r="G64" s="32" t="s">
        <v>911</v>
      </c>
      <c r="H64" s="5"/>
    </row>
    <row r="65" spans="1:12" ht="29" x14ac:dyDescent="0.35">
      <c r="A65" s="73" t="s">
        <v>873</v>
      </c>
      <c r="B65" s="5" t="s">
        <v>847</v>
      </c>
      <c r="C65" s="5" t="s">
        <v>654</v>
      </c>
      <c r="D65" s="19" t="s">
        <v>918</v>
      </c>
      <c r="E65" s="19" t="s">
        <v>919</v>
      </c>
      <c r="F65" s="5" t="s">
        <v>847</v>
      </c>
      <c r="G65" s="32" t="s">
        <v>917</v>
      </c>
      <c r="H65" s="5"/>
    </row>
    <row r="66" spans="1:12" ht="111" x14ac:dyDescent="0.35">
      <c r="A66" s="98" t="s">
        <v>897</v>
      </c>
      <c r="B66" s="5" t="s">
        <v>863</v>
      </c>
      <c r="C66" s="5" t="s">
        <v>655</v>
      </c>
      <c r="D66" s="19" t="s">
        <v>849</v>
      </c>
      <c r="E66" s="19" t="s">
        <v>850</v>
      </c>
      <c r="F66" s="5" t="s">
        <v>97</v>
      </c>
      <c r="G66" s="32" t="s">
        <v>848</v>
      </c>
      <c r="H66" s="124" t="s">
        <v>1335</v>
      </c>
    </row>
    <row r="67" spans="1:12" ht="92.5" x14ac:dyDescent="0.35">
      <c r="A67" s="98" t="s">
        <v>898</v>
      </c>
      <c r="B67" s="5" t="s">
        <v>864</v>
      </c>
      <c r="C67" s="5" t="s">
        <v>655</v>
      </c>
      <c r="D67" s="19" t="s">
        <v>849</v>
      </c>
      <c r="E67" s="19" t="s">
        <v>850</v>
      </c>
      <c r="F67" s="5" t="s">
        <v>97</v>
      </c>
      <c r="G67" s="32" t="s">
        <v>848</v>
      </c>
      <c r="H67" s="124" t="s">
        <v>1319</v>
      </c>
    </row>
    <row r="68" spans="1:12" ht="129.5" x14ac:dyDescent="0.35">
      <c r="A68" s="73" t="s">
        <v>899</v>
      </c>
      <c r="B68" s="5" t="s">
        <v>839</v>
      </c>
      <c r="C68" s="5" t="s">
        <v>769</v>
      </c>
      <c r="D68" s="19" t="s">
        <v>849</v>
      </c>
      <c r="E68" s="19" t="s">
        <v>850</v>
      </c>
      <c r="F68" s="5" t="s">
        <v>97</v>
      </c>
      <c r="G68" s="32" t="s">
        <v>848</v>
      </c>
      <c r="H68" s="122" t="s">
        <v>1343</v>
      </c>
    </row>
    <row r="69" spans="1:12" ht="55.5" x14ac:dyDescent="0.35">
      <c r="A69" s="73" t="s">
        <v>900</v>
      </c>
      <c r="B69" s="5" t="s">
        <v>851</v>
      </c>
      <c r="C69" s="5" t="s">
        <v>626</v>
      </c>
      <c r="D69" s="19" t="s">
        <v>915</v>
      </c>
      <c r="E69" s="19" t="s">
        <v>916</v>
      </c>
      <c r="F69" s="5" t="s">
        <v>847</v>
      </c>
      <c r="G69" s="32" t="s">
        <v>914</v>
      </c>
      <c r="H69" s="122" t="s">
        <v>1344</v>
      </c>
    </row>
    <row r="70" spans="1:12" ht="55.5" x14ac:dyDescent="0.35">
      <c r="A70" s="73" t="s">
        <v>901</v>
      </c>
      <c r="B70" s="5" t="s">
        <v>840</v>
      </c>
      <c r="C70" s="5" t="s">
        <v>769</v>
      </c>
      <c r="D70" s="19" t="s">
        <v>920</v>
      </c>
      <c r="E70" s="19" t="s">
        <v>921</v>
      </c>
      <c r="F70" s="5" t="s">
        <v>97</v>
      </c>
      <c r="G70" s="15" t="s">
        <v>891</v>
      </c>
      <c r="H70" s="122" t="s">
        <v>1320</v>
      </c>
      <c r="I70" s="64"/>
      <c r="J70" s="64"/>
      <c r="K70" s="64"/>
      <c r="L70" s="64"/>
    </row>
    <row r="71" spans="1:12" ht="74" x14ac:dyDescent="0.35">
      <c r="A71" s="73" t="s">
        <v>902</v>
      </c>
      <c r="B71" s="5" t="s">
        <v>841</v>
      </c>
      <c r="C71" s="5" t="s">
        <v>769</v>
      </c>
      <c r="D71" s="19" t="s">
        <v>922</v>
      </c>
      <c r="E71" s="19" t="s">
        <v>923</v>
      </c>
      <c r="F71" s="5" t="s">
        <v>97</v>
      </c>
      <c r="G71" s="15" t="s">
        <v>892</v>
      </c>
      <c r="H71" s="122" t="s">
        <v>1345</v>
      </c>
      <c r="I71" s="71"/>
    </row>
    <row r="72" spans="1:12" ht="74" x14ac:dyDescent="0.35">
      <c r="A72" s="73" t="s">
        <v>903</v>
      </c>
      <c r="B72" s="5" t="s">
        <v>842</v>
      </c>
      <c r="C72" s="5" t="s">
        <v>769</v>
      </c>
      <c r="D72" s="19" t="s">
        <v>924</v>
      </c>
      <c r="E72" s="19" t="s">
        <v>925</v>
      </c>
      <c r="F72" s="5" t="s">
        <v>97</v>
      </c>
      <c r="G72" s="15" t="s">
        <v>893</v>
      </c>
      <c r="H72" s="122" t="s">
        <v>1346</v>
      </c>
      <c r="I72" s="72"/>
    </row>
    <row r="73" spans="1:12" ht="55.5" x14ac:dyDescent="0.35">
      <c r="A73" s="73" t="s">
        <v>904</v>
      </c>
      <c r="B73" s="5" t="s">
        <v>843</v>
      </c>
      <c r="C73" s="5" t="s">
        <v>769</v>
      </c>
      <c r="D73" s="19" t="s">
        <v>926</v>
      </c>
      <c r="E73" s="19" t="s">
        <v>927</v>
      </c>
      <c r="F73" s="5" t="s">
        <v>97</v>
      </c>
      <c r="G73" s="15" t="s">
        <v>894</v>
      </c>
      <c r="H73" s="122" t="s">
        <v>1321</v>
      </c>
    </row>
    <row r="74" spans="1:12" s="38" customFormat="1" x14ac:dyDescent="0.35">
      <c r="A74" s="52"/>
      <c r="B74" s="36"/>
      <c r="C74" s="36"/>
      <c r="D74" s="42"/>
      <c r="E74" s="42"/>
      <c r="F74" s="36"/>
      <c r="G74" s="43"/>
      <c r="H74" s="36"/>
      <c r="I74" s="96"/>
    </row>
    <row r="75" spans="1:12" ht="37" x14ac:dyDescent="0.35">
      <c r="A75" s="5" t="s">
        <v>883</v>
      </c>
      <c r="B75" s="5" t="s">
        <v>874</v>
      </c>
      <c r="C75" s="5" t="s">
        <v>654</v>
      </c>
      <c r="D75" s="99" t="s">
        <v>936</v>
      </c>
      <c r="E75" s="99" t="s">
        <v>929</v>
      </c>
      <c r="F75" s="5" t="s">
        <v>874</v>
      </c>
      <c r="G75" s="33" t="s">
        <v>928</v>
      </c>
      <c r="H75" s="19" t="s">
        <v>881</v>
      </c>
      <c r="I75" s="72"/>
    </row>
    <row r="76" spans="1:12" ht="37" x14ac:dyDescent="0.35">
      <c r="A76" s="5" t="s">
        <v>884</v>
      </c>
      <c r="B76" s="5" t="s">
        <v>875</v>
      </c>
      <c r="C76" s="5" t="s">
        <v>654</v>
      </c>
      <c r="D76" s="99" t="s">
        <v>937</v>
      </c>
      <c r="E76" s="99" t="s">
        <v>931</v>
      </c>
      <c r="F76" s="5" t="s">
        <v>875</v>
      </c>
      <c r="G76" s="33" t="s">
        <v>930</v>
      </c>
      <c r="H76" s="19" t="s">
        <v>881</v>
      </c>
      <c r="I76" s="72"/>
    </row>
    <row r="77" spans="1:12" ht="37" x14ac:dyDescent="0.35">
      <c r="A77" s="5" t="s">
        <v>885</v>
      </c>
      <c r="B77" s="5" t="s">
        <v>876</v>
      </c>
      <c r="C77" s="5" t="s">
        <v>654</v>
      </c>
      <c r="D77" s="99" t="s">
        <v>938</v>
      </c>
      <c r="E77" s="99" t="s">
        <v>932</v>
      </c>
      <c r="F77" s="5" t="s">
        <v>876</v>
      </c>
      <c r="G77" s="33" t="s">
        <v>933</v>
      </c>
      <c r="H77" s="19" t="s">
        <v>881</v>
      </c>
      <c r="I77" s="72"/>
    </row>
    <row r="78" spans="1:12" ht="37" x14ac:dyDescent="0.35">
      <c r="A78" s="5" t="s">
        <v>886</v>
      </c>
      <c r="B78" s="5" t="s">
        <v>877</v>
      </c>
      <c r="C78" s="5" t="s">
        <v>654</v>
      </c>
      <c r="D78" s="99" t="s">
        <v>939</v>
      </c>
      <c r="E78" s="99" t="s">
        <v>935</v>
      </c>
      <c r="F78" s="5" t="s">
        <v>877</v>
      </c>
      <c r="G78" s="33" t="s">
        <v>934</v>
      </c>
      <c r="H78" s="19" t="s">
        <v>882</v>
      </c>
      <c r="I78" s="72"/>
    </row>
    <row r="79" spans="1:12" ht="37" x14ac:dyDescent="0.35">
      <c r="A79" s="10" t="s">
        <v>887</v>
      </c>
      <c r="B79" s="10" t="s">
        <v>878</v>
      </c>
      <c r="C79" s="5" t="s">
        <v>654</v>
      </c>
      <c r="D79" s="100" t="s">
        <v>941</v>
      </c>
      <c r="E79" s="99" t="s">
        <v>942</v>
      </c>
      <c r="F79" s="10" t="s">
        <v>878</v>
      </c>
      <c r="G79" s="33" t="s">
        <v>940</v>
      </c>
      <c r="H79" s="19" t="s">
        <v>882</v>
      </c>
      <c r="I79" s="72"/>
    </row>
    <row r="80" spans="1:12" ht="37" x14ac:dyDescent="0.35">
      <c r="A80" s="5" t="s">
        <v>888</v>
      </c>
      <c r="B80" s="5" t="s">
        <v>879</v>
      </c>
      <c r="C80" s="5" t="s">
        <v>654</v>
      </c>
      <c r="D80" s="100" t="s">
        <v>944</v>
      </c>
      <c r="E80" s="99" t="s">
        <v>945</v>
      </c>
      <c r="F80" s="5" t="s">
        <v>879</v>
      </c>
      <c r="G80" s="33" t="s">
        <v>943</v>
      </c>
      <c r="H80" s="19" t="s">
        <v>882</v>
      </c>
      <c r="I80" s="72"/>
    </row>
    <row r="81" spans="1:9" ht="37" x14ac:dyDescent="0.35">
      <c r="A81" s="5" t="s">
        <v>889</v>
      </c>
      <c r="B81" s="5" t="s">
        <v>880</v>
      </c>
      <c r="C81" s="5" t="s">
        <v>654</v>
      </c>
      <c r="D81" s="100" t="s">
        <v>947</v>
      </c>
      <c r="E81" s="99" t="s">
        <v>948</v>
      </c>
      <c r="F81" s="5" t="s">
        <v>880</v>
      </c>
      <c r="G81" s="33" t="s">
        <v>946</v>
      </c>
      <c r="H81" s="19" t="s">
        <v>882</v>
      </c>
      <c r="I81" s="72"/>
    </row>
    <row r="82" spans="1:9" s="38" customFormat="1" x14ac:dyDescent="0.35">
      <c r="A82" s="52"/>
      <c r="B82" s="52"/>
      <c r="C82" s="97"/>
      <c r="D82" s="94"/>
      <c r="E82" s="94"/>
      <c r="F82" s="52"/>
      <c r="G82" s="95"/>
      <c r="H82" s="52"/>
      <c r="I82" s="96"/>
    </row>
    <row r="83" spans="1:9" ht="29" x14ac:dyDescent="0.35">
      <c r="A83" s="5" t="s">
        <v>1037</v>
      </c>
      <c r="B83" s="5" t="s">
        <v>58</v>
      </c>
      <c r="C83" s="5" t="s">
        <v>654</v>
      </c>
      <c r="D83" s="19" t="s">
        <v>1039</v>
      </c>
      <c r="E83" s="19" t="s">
        <v>1040</v>
      </c>
      <c r="F83" s="5" t="s">
        <v>58</v>
      </c>
      <c r="G83" s="33" t="s">
        <v>1060</v>
      </c>
      <c r="H83" s="5"/>
      <c r="I83" s="72"/>
    </row>
    <row r="84" spans="1:9" ht="29" x14ac:dyDescent="0.35">
      <c r="A84" s="5" t="s">
        <v>1027</v>
      </c>
      <c r="B84" s="5" t="s">
        <v>1045</v>
      </c>
      <c r="C84" s="5" t="s">
        <v>654</v>
      </c>
      <c r="D84" s="19" t="s">
        <v>1052</v>
      </c>
      <c r="E84" s="19" t="s">
        <v>1053</v>
      </c>
      <c r="F84" s="5" t="s">
        <v>1045</v>
      </c>
      <c r="G84" s="33" t="s">
        <v>1061</v>
      </c>
      <c r="H84" s="5"/>
      <c r="I84" s="72"/>
    </row>
    <row r="85" spans="1:9" ht="29" x14ac:dyDescent="0.35">
      <c r="A85" s="5" t="s">
        <v>1028</v>
      </c>
      <c r="B85" s="5" t="s">
        <v>1047</v>
      </c>
      <c r="C85" s="5" t="s">
        <v>654</v>
      </c>
      <c r="D85" s="19" t="s">
        <v>1050</v>
      </c>
      <c r="E85" s="19" t="s">
        <v>1051</v>
      </c>
      <c r="F85" s="5" t="s">
        <v>1047</v>
      </c>
      <c r="G85" s="33" t="s">
        <v>1062</v>
      </c>
      <c r="H85" s="5"/>
      <c r="I85" s="72"/>
    </row>
    <row r="86" spans="1:9" ht="29" x14ac:dyDescent="0.35">
      <c r="A86" s="5" t="s">
        <v>1030</v>
      </c>
      <c r="B86" s="5" t="s">
        <v>1046</v>
      </c>
      <c r="C86" s="5" t="s">
        <v>654</v>
      </c>
      <c r="D86" s="19" t="s">
        <v>1054</v>
      </c>
      <c r="E86" s="19" t="s">
        <v>1055</v>
      </c>
      <c r="F86" s="5" t="s">
        <v>1046</v>
      </c>
      <c r="G86" s="32" t="s">
        <v>1063</v>
      </c>
      <c r="H86" s="5"/>
    </row>
    <row r="87" spans="1:9" ht="29" x14ac:dyDescent="0.35">
      <c r="A87" s="5" t="s">
        <v>1038</v>
      </c>
      <c r="B87" s="5" t="s">
        <v>1034</v>
      </c>
      <c r="C87" s="5" t="s">
        <v>654</v>
      </c>
      <c r="D87" s="19" t="s">
        <v>1036</v>
      </c>
      <c r="E87" s="19" t="s">
        <v>1035</v>
      </c>
      <c r="F87" s="5" t="s">
        <v>1034</v>
      </c>
      <c r="G87" s="33" t="s">
        <v>1064</v>
      </c>
      <c r="H87" s="5"/>
      <c r="I87" s="72"/>
    </row>
    <row r="88" spans="1:9" ht="111" x14ac:dyDescent="0.45">
      <c r="A88" s="5" t="s">
        <v>1026</v>
      </c>
      <c r="B88" s="59" t="s">
        <v>1359</v>
      </c>
      <c r="C88" s="5" t="s">
        <v>655</v>
      </c>
      <c r="D88" s="19" t="s">
        <v>1041</v>
      </c>
      <c r="E88" s="19" t="s">
        <v>1042</v>
      </c>
      <c r="F88" s="5" t="s">
        <v>58</v>
      </c>
      <c r="G88" s="33" t="s">
        <v>1065</v>
      </c>
      <c r="H88" s="122" t="s">
        <v>1348</v>
      </c>
    </row>
    <row r="89" spans="1:9" ht="55.5" x14ac:dyDescent="0.35">
      <c r="A89" s="5" t="s">
        <v>1078</v>
      </c>
      <c r="B89" s="5" t="s">
        <v>996</v>
      </c>
      <c r="C89" s="5" t="s">
        <v>626</v>
      </c>
      <c r="D89" s="19" t="s">
        <v>1043</v>
      </c>
      <c r="E89" s="19" t="s">
        <v>1044</v>
      </c>
      <c r="F89" s="5" t="s">
        <v>1045</v>
      </c>
      <c r="G89" s="15" t="s">
        <v>995</v>
      </c>
      <c r="H89" s="122" t="s">
        <v>1322</v>
      </c>
    </row>
    <row r="90" spans="1:9" ht="55.5" x14ac:dyDescent="0.35">
      <c r="A90" s="5" t="s">
        <v>1079</v>
      </c>
      <c r="B90" s="5" t="s">
        <v>997</v>
      </c>
      <c r="C90" s="5" t="s">
        <v>626</v>
      </c>
      <c r="D90" s="19" t="s">
        <v>1048</v>
      </c>
      <c r="E90" s="19" t="s">
        <v>1049</v>
      </c>
      <c r="F90" s="5" t="s">
        <v>1047</v>
      </c>
      <c r="G90" s="15" t="s">
        <v>998</v>
      </c>
      <c r="H90" s="122" t="s">
        <v>1323</v>
      </c>
      <c r="I90" s="72"/>
    </row>
    <row r="91" spans="1:9" ht="55.5" x14ac:dyDescent="0.35">
      <c r="A91" s="5" t="s">
        <v>1029</v>
      </c>
      <c r="B91" s="5" t="s">
        <v>999</v>
      </c>
      <c r="C91" s="5" t="s">
        <v>769</v>
      </c>
      <c r="D91" s="19" t="s">
        <v>1056</v>
      </c>
      <c r="E91" s="19" t="s">
        <v>1057</v>
      </c>
      <c r="F91" s="5" t="s">
        <v>58</v>
      </c>
      <c r="G91" s="32" t="s">
        <v>1066</v>
      </c>
      <c r="H91" s="122" t="s">
        <v>1324</v>
      </c>
    </row>
    <row r="92" spans="1:9" ht="55.5" x14ac:dyDescent="0.35">
      <c r="A92" s="5" t="s">
        <v>1080</v>
      </c>
      <c r="B92" s="5" t="s">
        <v>1000</v>
      </c>
      <c r="C92" s="5" t="s">
        <v>626</v>
      </c>
      <c r="D92" s="19" t="s">
        <v>1058</v>
      </c>
      <c r="E92" s="19" t="s">
        <v>1059</v>
      </c>
      <c r="F92" s="5" t="s">
        <v>1046</v>
      </c>
      <c r="G92" s="32" t="s">
        <v>1067</v>
      </c>
      <c r="H92" s="122" t="s">
        <v>1325</v>
      </c>
    </row>
    <row r="93" spans="1:9" ht="55.5" x14ac:dyDescent="0.35">
      <c r="A93" s="5" t="s">
        <v>1031</v>
      </c>
      <c r="B93" s="5" t="s">
        <v>1001</v>
      </c>
      <c r="C93" s="5" t="s">
        <v>626</v>
      </c>
      <c r="D93" s="19" t="s">
        <v>1033</v>
      </c>
      <c r="E93" s="19" t="s">
        <v>1032</v>
      </c>
      <c r="F93" s="5" t="s">
        <v>1034</v>
      </c>
      <c r="G93" s="33" t="s">
        <v>1068</v>
      </c>
      <c r="H93" s="122" t="s">
        <v>1326</v>
      </c>
      <c r="I93" s="72"/>
    </row>
    <row r="94" spans="1:9" s="38" customFormat="1" x14ac:dyDescent="0.35">
      <c r="A94" s="52"/>
      <c r="B94" s="52"/>
      <c r="C94" s="52"/>
      <c r="D94" s="94"/>
      <c r="E94" s="94"/>
      <c r="F94" s="52"/>
      <c r="G94" s="95"/>
      <c r="I94" s="96"/>
    </row>
    <row r="95" spans="1:9" ht="29" x14ac:dyDescent="0.35">
      <c r="A95" s="5" t="s">
        <v>1109</v>
      </c>
      <c r="B95" s="5" t="s">
        <v>103</v>
      </c>
      <c r="C95" s="5" t="s">
        <v>654</v>
      </c>
      <c r="D95" s="107" t="s">
        <v>1154</v>
      </c>
      <c r="E95" s="107" t="s">
        <v>1155</v>
      </c>
      <c r="F95" s="5" t="s">
        <v>103</v>
      </c>
      <c r="G95" s="32" t="s">
        <v>1141</v>
      </c>
      <c r="H95" s="5"/>
    </row>
    <row r="96" spans="1:9" ht="29" x14ac:dyDescent="0.35">
      <c r="A96" s="5" t="s">
        <v>1110</v>
      </c>
      <c r="B96" s="5" t="s">
        <v>71</v>
      </c>
      <c r="C96" s="5" t="s">
        <v>654</v>
      </c>
      <c r="D96" s="107" t="s">
        <v>1158</v>
      </c>
      <c r="E96" s="107" t="s">
        <v>1159</v>
      </c>
      <c r="F96" s="5" t="s">
        <v>71</v>
      </c>
      <c r="G96" s="33" t="s">
        <v>1142</v>
      </c>
      <c r="H96" s="5"/>
      <c r="I96" s="72"/>
    </row>
    <row r="97" spans="1:9" ht="29" x14ac:dyDescent="0.35">
      <c r="A97" s="5" t="s">
        <v>1111</v>
      </c>
      <c r="B97" s="5" t="s">
        <v>1091</v>
      </c>
      <c r="C97" s="5" t="s">
        <v>654</v>
      </c>
      <c r="D97" s="107" t="s">
        <v>1160</v>
      </c>
      <c r="E97" s="107" t="s">
        <v>1161</v>
      </c>
      <c r="F97" s="5" t="s">
        <v>1091</v>
      </c>
      <c r="G97" s="33" t="s">
        <v>1143</v>
      </c>
      <c r="H97" s="5"/>
      <c r="I97" s="72"/>
    </row>
    <row r="98" spans="1:9" ht="29" x14ac:dyDescent="0.35">
      <c r="A98" s="5" t="s">
        <v>1112</v>
      </c>
      <c r="B98" s="5" t="s">
        <v>1092</v>
      </c>
      <c r="C98" s="5" t="s">
        <v>654</v>
      </c>
      <c r="D98" s="107" t="s">
        <v>1145</v>
      </c>
      <c r="E98" s="107" t="s">
        <v>1146</v>
      </c>
      <c r="F98" s="5" t="s">
        <v>1092</v>
      </c>
      <c r="G98" s="33" t="s">
        <v>1144</v>
      </c>
      <c r="H98" s="5"/>
      <c r="I98" s="72"/>
    </row>
    <row r="99" spans="1:9" ht="29" x14ac:dyDescent="0.35">
      <c r="A99" s="5" t="s">
        <v>1114</v>
      </c>
      <c r="B99" s="5" t="s">
        <v>1113</v>
      </c>
      <c r="C99" s="5" t="s">
        <v>654</v>
      </c>
      <c r="D99" s="107" t="s">
        <v>1148</v>
      </c>
      <c r="E99" s="107" t="s">
        <v>1149</v>
      </c>
      <c r="F99" s="5" t="s">
        <v>1113</v>
      </c>
      <c r="G99" s="33" t="s">
        <v>1147</v>
      </c>
      <c r="H99" s="5"/>
      <c r="I99" s="72"/>
    </row>
    <row r="100" spans="1:9" ht="74" x14ac:dyDescent="0.35">
      <c r="A100" s="5" t="s">
        <v>1100</v>
      </c>
      <c r="B100" s="5" t="s">
        <v>1093</v>
      </c>
      <c r="C100" s="5" t="s">
        <v>769</v>
      </c>
      <c r="D100" s="107" t="s">
        <v>1156</v>
      </c>
      <c r="E100" s="107" t="s">
        <v>1157</v>
      </c>
      <c r="F100" s="5" t="s">
        <v>103</v>
      </c>
      <c r="G100" s="33" t="s">
        <v>1151</v>
      </c>
      <c r="H100" s="122" t="s">
        <v>1330</v>
      </c>
      <c r="I100" s="122"/>
    </row>
    <row r="101" spans="1:9" ht="74" x14ac:dyDescent="0.35">
      <c r="A101" s="5" t="s">
        <v>1106</v>
      </c>
      <c r="B101" s="5" t="s">
        <v>1094</v>
      </c>
      <c r="C101" s="5" t="s">
        <v>626</v>
      </c>
      <c r="D101" s="108" t="s">
        <v>1167</v>
      </c>
      <c r="E101" s="107" t="s">
        <v>1164</v>
      </c>
      <c r="F101" s="5" t="s">
        <v>1091</v>
      </c>
      <c r="G101" s="33" t="s">
        <v>1165</v>
      </c>
      <c r="H101" s="122" t="s">
        <v>1349</v>
      </c>
    </row>
    <row r="102" spans="1:9" ht="55.5" x14ac:dyDescent="0.35">
      <c r="A102" s="5" t="s">
        <v>1107</v>
      </c>
      <c r="B102" s="5" t="s">
        <v>1095</v>
      </c>
      <c r="C102" s="5" t="s">
        <v>626</v>
      </c>
      <c r="D102" s="108" t="s">
        <v>1163</v>
      </c>
      <c r="E102" s="107" t="s">
        <v>1162</v>
      </c>
      <c r="F102" s="5" t="s">
        <v>1092</v>
      </c>
      <c r="G102" s="15" t="s">
        <v>1137</v>
      </c>
      <c r="H102" s="122" t="s">
        <v>1331</v>
      </c>
    </row>
    <row r="103" spans="1:9" ht="92.5" x14ac:dyDescent="0.35">
      <c r="A103" s="5" t="s">
        <v>1108</v>
      </c>
      <c r="B103" s="5" t="s">
        <v>1096</v>
      </c>
      <c r="C103" s="5" t="s">
        <v>626</v>
      </c>
      <c r="D103" s="108" t="s">
        <v>1168</v>
      </c>
      <c r="E103" s="107" t="s">
        <v>1166</v>
      </c>
      <c r="F103" s="5" t="s">
        <v>1113</v>
      </c>
      <c r="G103" s="33" t="s">
        <v>1150</v>
      </c>
      <c r="H103" s="122" t="s">
        <v>1350</v>
      </c>
    </row>
    <row r="104" spans="1:9" ht="74" x14ac:dyDescent="0.35">
      <c r="A104" s="5" t="s">
        <v>1119</v>
      </c>
      <c r="B104" s="5" t="s">
        <v>1115</v>
      </c>
      <c r="C104" s="5" t="s">
        <v>769</v>
      </c>
      <c r="D104" s="108" t="s">
        <v>1171</v>
      </c>
      <c r="E104" s="107" t="s">
        <v>1169</v>
      </c>
      <c r="F104" s="5" t="s">
        <v>71</v>
      </c>
      <c r="G104" s="33" t="s">
        <v>1152</v>
      </c>
      <c r="H104" s="122" t="s">
        <v>1332</v>
      </c>
    </row>
    <row r="105" spans="1:9" ht="74" x14ac:dyDescent="0.35">
      <c r="A105" s="5" t="s">
        <v>1120</v>
      </c>
      <c r="B105" s="5" t="s">
        <v>1116</v>
      </c>
      <c r="C105" s="5" t="s">
        <v>769</v>
      </c>
      <c r="D105" s="108" t="s">
        <v>1172</v>
      </c>
      <c r="E105" s="107" t="s">
        <v>1170</v>
      </c>
      <c r="F105" s="5" t="s">
        <v>71</v>
      </c>
      <c r="G105" s="33" t="s">
        <v>1153</v>
      </c>
      <c r="H105" s="122" t="s">
        <v>1333</v>
      </c>
    </row>
    <row r="106" spans="1:9" ht="55.5" x14ac:dyDescent="0.35">
      <c r="A106" s="5" t="s">
        <v>1287</v>
      </c>
      <c r="B106" s="5" t="s">
        <v>1240</v>
      </c>
      <c r="C106" s="5" t="s">
        <v>769</v>
      </c>
      <c r="D106" s="19" t="s">
        <v>1267</v>
      </c>
      <c r="E106" s="19" t="s">
        <v>1268</v>
      </c>
      <c r="F106" s="5" t="s">
        <v>103</v>
      </c>
      <c r="G106" s="32" t="s">
        <v>1266</v>
      </c>
      <c r="H106" s="126" t="s">
        <v>1334</v>
      </c>
    </row>
    <row r="107" spans="1:9" ht="43.5" x14ac:dyDescent="0.35">
      <c r="A107" s="5" t="s">
        <v>1351</v>
      </c>
      <c r="B107" s="5" t="s">
        <v>44</v>
      </c>
      <c r="C107" s="5" t="s">
        <v>654</v>
      </c>
      <c r="D107" s="55" t="s">
        <v>1355</v>
      </c>
      <c r="E107" s="19" t="s">
        <v>1305</v>
      </c>
      <c r="F107" s="5" t="s">
        <v>44</v>
      </c>
      <c r="G107" s="32" t="s">
        <v>1304</v>
      </c>
      <c r="H107" s="5"/>
    </row>
    <row r="108" spans="1:9" ht="43.5" x14ac:dyDescent="0.35">
      <c r="A108" s="5" t="s">
        <v>1300</v>
      </c>
      <c r="B108" s="5" t="s">
        <v>1301</v>
      </c>
      <c r="C108" s="5" t="s">
        <v>654</v>
      </c>
      <c r="D108" s="55" t="s">
        <v>1356</v>
      </c>
      <c r="E108" s="19" t="s">
        <v>1303</v>
      </c>
      <c r="F108" s="5" t="s">
        <v>1301</v>
      </c>
      <c r="G108" s="32" t="s">
        <v>1302</v>
      </c>
      <c r="H108" s="5"/>
    </row>
    <row r="109" spans="1:9" ht="111" x14ac:dyDescent="0.35">
      <c r="A109" s="5" t="s">
        <v>1352</v>
      </c>
      <c r="B109" s="5" t="s">
        <v>1306</v>
      </c>
      <c r="C109" s="5" t="s">
        <v>655</v>
      </c>
      <c r="D109" s="107" t="s">
        <v>1156</v>
      </c>
      <c r="E109" s="107" t="s">
        <v>1157</v>
      </c>
      <c r="F109" s="5" t="s">
        <v>103</v>
      </c>
      <c r="G109" s="33" t="s">
        <v>1151</v>
      </c>
      <c r="H109" s="122" t="s">
        <v>1328</v>
      </c>
    </row>
    <row r="110" spans="1:9" ht="111" x14ac:dyDescent="0.35">
      <c r="A110" s="5" t="s">
        <v>1353</v>
      </c>
      <c r="B110" s="5" t="s">
        <v>1307</v>
      </c>
      <c r="C110" s="5" t="s">
        <v>655</v>
      </c>
      <c r="D110" s="19" t="s">
        <v>1309</v>
      </c>
      <c r="E110" s="19" t="s">
        <v>1310</v>
      </c>
      <c r="F110" s="5" t="s">
        <v>44</v>
      </c>
      <c r="G110" s="32" t="s">
        <v>1308</v>
      </c>
      <c r="H110" s="122" t="s">
        <v>1329</v>
      </c>
    </row>
  </sheetData>
  <hyperlinks>
    <hyperlink ref="G2" r:id="rId1" xr:uid="{8D83ECFC-51FD-4C0C-97E4-7EE94321CC9B}"/>
    <hyperlink ref="G3" r:id="rId2" xr:uid="{4CA35E6C-7A12-4C46-A85D-05DF787067D4}"/>
    <hyperlink ref="G5" r:id="rId3" xr:uid="{C09D7B24-47DE-4861-92E3-ECC329B4409F}"/>
    <hyperlink ref="G6" r:id="rId4" xr:uid="{241CA111-D7DB-450F-95BF-7C4ACDE67F1C}"/>
    <hyperlink ref="G7" r:id="rId5" xr:uid="{C824E407-414C-436D-94D2-F6ECF806B456}"/>
    <hyperlink ref="G8" r:id="rId6" xr:uid="{BD39EFB5-E0FC-4517-B519-AE3AE7C0FFD2}"/>
    <hyperlink ref="G9" r:id="rId7" xr:uid="{4BFA5DA6-42BB-4744-A162-57D1BC1D9B4F}"/>
    <hyperlink ref="G30" r:id="rId8" xr:uid="{67F00AE9-3FA4-4F4A-A26C-7A9836604EDC}"/>
    <hyperlink ref="G32" r:id="rId9" xr:uid="{D1827E93-E496-48D0-8FCF-02B6B41C652E}"/>
    <hyperlink ref="G10" r:id="rId10" xr:uid="{EDEDAC94-F22C-4505-B850-6DD6600DC75C}"/>
    <hyperlink ref="G11" r:id="rId11" xr:uid="{4443A091-51D8-492E-AA72-DBDDEF0916C8}"/>
    <hyperlink ref="G12" r:id="rId12" xr:uid="{9878056E-BAFD-48E1-89D8-B4E15534A0C4}"/>
    <hyperlink ref="G13" r:id="rId13" xr:uid="{173540A8-FAB6-4B07-9F3A-D81E9FD51E1F}"/>
    <hyperlink ref="G14" r:id="rId14" xr:uid="{7DECF006-840E-40FD-93F5-0B0D763508AA}"/>
    <hyperlink ref="G15" r:id="rId15" xr:uid="{199DA205-A43B-437A-840F-7CD04B76C021}"/>
    <hyperlink ref="G16" r:id="rId16" xr:uid="{C35A1A12-DAA0-41B5-83CD-782BF6714E42}"/>
    <hyperlink ref="G17" r:id="rId17" xr:uid="{9170B887-4B37-4F1A-B5C0-6A998E1D5688}"/>
    <hyperlink ref="G19" r:id="rId18" xr:uid="{1C6E4834-4B49-4A21-8908-5486A96BAF55}"/>
    <hyperlink ref="G22" r:id="rId19" xr:uid="{2F7A6737-3730-4907-9820-C943B5FE9434}"/>
    <hyperlink ref="G23" r:id="rId20" xr:uid="{69DB8F4B-36C9-4D49-9F04-A4CD44D06151}"/>
    <hyperlink ref="G25" r:id="rId21" xr:uid="{61C0FBF9-5F80-4085-B6B5-42C0B707CCC6}"/>
    <hyperlink ref="G27" r:id="rId22" xr:uid="{1A69CCB3-1BF3-4D48-AF07-CF985E4045C2}"/>
    <hyperlink ref="G28" r:id="rId23" xr:uid="{52A1D737-680B-485A-83C8-7FDC545B5DC7}"/>
    <hyperlink ref="G34" r:id="rId24" xr:uid="{BC18C928-E833-494B-B183-C8D55AAA6A00}"/>
    <hyperlink ref="G33" r:id="rId25" xr:uid="{4764C98C-6B11-4E12-9AEF-F37B5DFD3CF2}"/>
    <hyperlink ref="G37" r:id="rId26" xr:uid="{419C0E08-A9BF-4768-855F-B2DCE2D3D0B8}"/>
    <hyperlink ref="G38" r:id="rId27" xr:uid="{92B2F698-7D9A-4A71-B56A-D9E455122E32}"/>
    <hyperlink ref="G40" r:id="rId28" xr:uid="{D612E679-9630-423C-B5BF-989E5AF70E0B}"/>
    <hyperlink ref="G45" r:id="rId29" xr:uid="{B9295313-309E-4E0B-833D-9111160AEE3E}"/>
    <hyperlink ref="G48" r:id="rId30" xr:uid="{AE4E6409-3042-4032-B8F3-D9FAD3BED18D}"/>
    <hyperlink ref="G49" r:id="rId31" xr:uid="{31A25F98-EFC5-481A-8A8E-536EC1B1B802}"/>
    <hyperlink ref="G50" r:id="rId32" xr:uid="{9B14893D-7A35-40B4-BC0B-28A41AF97744}"/>
    <hyperlink ref="G51" r:id="rId33" xr:uid="{599372DA-CDD6-4B9C-AB07-D361CA3579A4}"/>
    <hyperlink ref="G52" r:id="rId34" xr:uid="{6FCCCE0A-B0BA-4C2A-A8FC-A32C33B8066D}"/>
    <hyperlink ref="G53" r:id="rId35" xr:uid="{08F83772-3282-4543-BAB1-3F2DF0B827B5}"/>
    <hyperlink ref="G54" r:id="rId36" xr:uid="{71BF6D0F-BA48-4811-8249-1F75DCEC5631}"/>
    <hyperlink ref="G57" r:id="rId37" xr:uid="{B6F86A3D-0668-4CD6-AE14-6D28F84AC28B}"/>
    <hyperlink ref="G58" r:id="rId38" xr:uid="{C32B9C7F-B722-4234-84C9-8186D772A2A0}"/>
    <hyperlink ref="G59" r:id="rId39" xr:uid="{6A14467D-9E01-4AD3-9190-CE985FCC8B02}"/>
    <hyperlink ref="G26" r:id="rId40" xr:uid="{08E2E0C2-D8AB-4FD4-B3DC-1337D3ED7191}"/>
    <hyperlink ref="G55" r:id="rId41" xr:uid="{99DA4995-B0A0-4011-8727-3CB29DBB03C5}"/>
    <hyperlink ref="G67" r:id="rId42" xr:uid="{4A7EC1DE-BFA5-405F-81EE-5EEFA6FD6097}"/>
    <hyperlink ref="G61" r:id="rId43" xr:uid="{84F2BD4D-E0BA-4940-9DB6-7A8F10EBEFD1}"/>
    <hyperlink ref="G62" r:id="rId44" xr:uid="{363C3549-4B00-416A-9999-770442F383E5}"/>
    <hyperlink ref="G63" r:id="rId45" xr:uid="{2191079A-0194-4898-BDBD-3B034429A1B0}"/>
    <hyperlink ref="G64" r:id="rId46" xr:uid="{F3B614FA-4B5E-4175-A361-17CA802028C9}"/>
    <hyperlink ref="G69" r:id="rId47" xr:uid="{F5EF476A-7DC2-49CD-AB3D-59FA7029E5BA}"/>
    <hyperlink ref="G65" r:id="rId48" xr:uid="{D9467172-EC4C-4B97-BCE8-A43CE11F0C44}"/>
    <hyperlink ref="G68" r:id="rId49" xr:uid="{540AFCC2-E194-40B6-9277-AAD7452BD9CB}"/>
    <hyperlink ref="G66" r:id="rId50" xr:uid="{1D7E787C-5179-4719-96D4-59C69D3239B6}"/>
    <hyperlink ref="G70" r:id="rId51" xr:uid="{EAAF1973-65A1-4CEC-8335-B329CF9C9350}"/>
    <hyperlink ref="G71" r:id="rId52" xr:uid="{269162C2-2B89-48C6-B7B9-3924E6A4CD57}"/>
    <hyperlink ref="G72" r:id="rId53" xr:uid="{9D915248-029F-4564-8006-9F75E73F23EF}"/>
    <hyperlink ref="G73" r:id="rId54" xr:uid="{11BF718F-31F0-4533-B2C5-BC4ADA10205B}"/>
    <hyperlink ref="G75" r:id="rId55" xr:uid="{BEA39E59-8944-436E-93CD-25E43D69B596}"/>
    <hyperlink ref="G76" r:id="rId56" xr:uid="{A0B0DBFB-DD84-4D59-BAA6-6E5D725BA50F}"/>
    <hyperlink ref="G77" r:id="rId57" xr:uid="{C476D349-7CEB-4A59-8D2C-A1FEBC3BAA12}"/>
    <hyperlink ref="G78" r:id="rId58" xr:uid="{5C5DD44D-2B50-4727-9657-EB724DFD30E2}"/>
    <hyperlink ref="G79" r:id="rId59" xr:uid="{05D99BE3-AFFF-48CF-B236-8EEDA8F0E6D3}"/>
    <hyperlink ref="G80" r:id="rId60" xr:uid="{C3421040-5C72-44F7-9F68-08C3287348FC}"/>
    <hyperlink ref="G81" r:id="rId61" xr:uid="{6AE15E10-3543-42AE-81B8-728BECD3F9D4}"/>
    <hyperlink ref="G83" r:id="rId62" xr:uid="{BEAC378B-EADA-44F5-A531-EEC3C835C6CC}"/>
    <hyperlink ref="G86" r:id="rId63" xr:uid="{737F8B3C-9F95-42AE-A9AF-0D676889FCEF}"/>
    <hyperlink ref="G87" r:id="rId64" xr:uid="{7B6D5C9B-541B-449A-9F8C-45FFC78C5A86}"/>
    <hyperlink ref="G88" r:id="rId65" xr:uid="{9838F65D-D990-4BFB-B181-9BDD8646CB42}"/>
    <hyperlink ref="G90" r:id="rId66" xr:uid="{DBEC9C43-806D-49E3-9F7E-A506E3FB6112}"/>
    <hyperlink ref="G89" r:id="rId67" xr:uid="{F2441A3F-8ABA-4754-85E0-30FD06E56DF3}"/>
    <hyperlink ref="G91" r:id="rId68" xr:uid="{E29A803A-82FF-44CE-9C9F-AB314614BBCE}"/>
    <hyperlink ref="G92" r:id="rId69" xr:uid="{4AA1086D-3C0D-475F-8E37-49B5E3F4CD65}"/>
    <hyperlink ref="G93" r:id="rId70" xr:uid="{818006F4-CB7C-4EE4-B43D-7C5EDE0FCEB2}"/>
    <hyperlink ref="G95" r:id="rId71" xr:uid="{E2772A41-8194-471D-8DE6-9106626655C3}"/>
    <hyperlink ref="G96" r:id="rId72" xr:uid="{70A2C534-6BC8-48DF-BE42-7707B461BC92}"/>
    <hyperlink ref="G97" r:id="rId73" xr:uid="{CF0454A1-F69D-4B9F-986A-C81B2237AB86}"/>
    <hyperlink ref="G98" r:id="rId74" xr:uid="{8D61318A-E998-43FC-9EBD-2572A8485EE6}"/>
    <hyperlink ref="G99" r:id="rId75" xr:uid="{DE253CB8-AA91-45EA-82AA-F84C6CC19B83}"/>
    <hyperlink ref="G103" r:id="rId76" xr:uid="{17AF3627-BED4-4D97-9A17-2040DB9DEE48}"/>
    <hyperlink ref="G100" r:id="rId77" xr:uid="{81232B09-BA5E-4892-9B66-DC46E4E536BD}"/>
    <hyperlink ref="G102" r:id="rId78" xr:uid="{7CBF1916-6B91-446A-934F-4ABBFDDAA233}"/>
    <hyperlink ref="G104" r:id="rId79" xr:uid="{1B5182EF-9DC7-40C9-AE66-BD35C88E33EB}"/>
    <hyperlink ref="G105" r:id="rId80" xr:uid="{976442F4-D6F5-44AD-915A-CA7EF08B8B2E}"/>
    <hyperlink ref="G106" r:id="rId81" xr:uid="{881B98EC-4DBF-4EA9-A7AF-C738EFFE4045}"/>
    <hyperlink ref="G108" r:id="rId82" xr:uid="{01C68D5F-7DD7-4949-87A0-FB89F2633A44}"/>
    <hyperlink ref="G107" r:id="rId83" xr:uid="{20078F1B-9F69-4217-B651-D85BC6DC413A}"/>
    <hyperlink ref="G109" r:id="rId84" xr:uid="{D09940EA-8966-4718-AD9C-D21D0F76B473}"/>
    <hyperlink ref="G110" r:id="rId85" xr:uid="{F3FAF2F0-17BC-47A7-997E-87A8FB45482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4684-B3B6-4C56-9B2E-358E35C903B8}">
  <dimension ref="A1:K70"/>
  <sheetViews>
    <sheetView zoomScale="60" zoomScaleNormal="60" workbookViewId="0">
      <pane ySplit="1" topLeftCell="A2" activePane="bottomLeft" state="frozen"/>
      <selection pane="bottomLeft" sqref="A1:K4"/>
    </sheetView>
  </sheetViews>
  <sheetFormatPr defaultRowHeight="18.5" x14ac:dyDescent="0.35"/>
  <cols>
    <col min="1" max="1" width="29.453125" style="13" customWidth="1"/>
    <col min="2" max="2" width="32.1796875" style="13" customWidth="1"/>
    <col min="3" max="4" width="18.54296875" style="24" customWidth="1"/>
    <col min="5" max="6" width="35.1796875" style="13" customWidth="1"/>
    <col min="7" max="7" width="35.6328125" style="13" customWidth="1"/>
    <col min="8" max="8" width="26.54296875" style="13" customWidth="1"/>
    <col min="9" max="9" width="38.36328125" style="13" customWidth="1"/>
    <col min="10" max="10" width="25.54296875" style="13" customWidth="1"/>
    <col min="11" max="11" width="26.453125" style="13" customWidth="1"/>
  </cols>
  <sheetData>
    <row r="1" spans="1:11" x14ac:dyDescent="0.45">
      <c r="A1" s="9" t="s">
        <v>635</v>
      </c>
      <c r="B1" s="9" t="s">
        <v>465</v>
      </c>
      <c r="C1" s="22" t="s">
        <v>105</v>
      </c>
      <c r="D1" s="22" t="s">
        <v>106</v>
      </c>
      <c r="E1" s="9" t="s">
        <v>651</v>
      </c>
      <c r="F1" s="63" t="s">
        <v>726</v>
      </c>
      <c r="G1" s="2" t="s">
        <v>638</v>
      </c>
      <c r="H1" s="9" t="s">
        <v>647</v>
      </c>
      <c r="I1" s="9" t="s">
        <v>648</v>
      </c>
      <c r="J1" s="2" t="s">
        <v>636</v>
      </c>
      <c r="K1" s="2" t="s">
        <v>640</v>
      </c>
    </row>
    <row r="2" spans="1:11" ht="55.5" x14ac:dyDescent="0.35">
      <c r="A2" s="5" t="s">
        <v>467</v>
      </c>
      <c r="B2" s="5" t="s">
        <v>677</v>
      </c>
      <c r="C2" s="23">
        <v>14824</v>
      </c>
      <c r="D2" s="23"/>
      <c r="E2" s="5" t="s">
        <v>468</v>
      </c>
      <c r="F2" s="5" t="s">
        <v>8</v>
      </c>
      <c r="G2" s="5" t="s">
        <v>469</v>
      </c>
      <c r="H2" s="5"/>
      <c r="I2" s="5"/>
      <c r="J2" s="5" t="s">
        <v>8</v>
      </c>
      <c r="K2" s="5" t="s">
        <v>470</v>
      </c>
    </row>
    <row r="3" spans="1:11" x14ac:dyDescent="0.35">
      <c r="A3" s="5" t="s">
        <v>471</v>
      </c>
      <c r="B3" s="5" t="s">
        <v>678</v>
      </c>
      <c r="C3" s="23">
        <v>14772</v>
      </c>
      <c r="D3" s="23"/>
      <c r="E3" s="5" t="s">
        <v>472</v>
      </c>
      <c r="F3" s="5" t="s">
        <v>473</v>
      </c>
      <c r="G3" s="5"/>
      <c r="H3" s="5"/>
      <c r="I3" s="5"/>
      <c r="J3" s="5"/>
      <c r="K3" s="5" t="s">
        <v>473</v>
      </c>
    </row>
    <row r="4" spans="1:11" ht="55.5" x14ac:dyDescent="0.35">
      <c r="A4" s="5" t="s">
        <v>474</v>
      </c>
      <c r="B4" s="5" t="s">
        <v>838</v>
      </c>
      <c r="C4" s="23">
        <v>14780</v>
      </c>
      <c r="D4" s="23"/>
      <c r="E4" s="5" t="s">
        <v>679</v>
      </c>
      <c r="F4" s="5" t="s">
        <v>8</v>
      </c>
      <c r="G4" s="5" t="s">
        <v>680</v>
      </c>
      <c r="H4" s="5" t="s">
        <v>469</v>
      </c>
      <c r="I4" s="5" t="s">
        <v>476</v>
      </c>
      <c r="J4" s="5" t="s">
        <v>478</v>
      </c>
      <c r="K4" s="5" t="s">
        <v>477</v>
      </c>
    </row>
    <row r="5" spans="1:11" ht="111" x14ac:dyDescent="0.35">
      <c r="A5" s="5" t="s">
        <v>479</v>
      </c>
      <c r="B5" s="5" t="s">
        <v>682</v>
      </c>
      <c r="C5" s="23">
        <v>15236</v>
      </c>
      <c r="D5" s="23">
        <v>15919</v>
      </c>
      <c r="E5" s="5" t="s">
        <v>681</v>
      </c>
      <c r="F5" s="5" t="s">
        <v>8</v>
      </c>
      <c r="G5" s="5" t="s">
        <v>475</v>
      </c>
      <c r="H5" s="5" t="s">
        <v>476</v>
      </c>
      <c r="I5" s="5" t="s">
        <v>480</v>
      </c>
      <c r="J5" s="5" t="s">
        <v>481</v>
      </c>
      <c r="K5" s="5" t="s">
        <v>477</v>
      </c>
    </row>
    <row r="6" spans="1:11" ht="55.5" x14ac:dyDescent="0.35">
      <c r="A6" s="5" t="s">
        <v>482</v>
      </c>
      <c r="B6" s="5" t="s">
        <v>683</v>
      </c>
      <c r="C6" s="23">
        <v>15926</v>
      </c>
      <c r="D6" s="23"/>
      <c r="E6" s="5" t="s">
        <v>483</v>
      </c>
      <c r="F6" s="5" t="s">
        <v>473</v>
      </c>
      <c r="G6" s="5" t="s">
        <v>330</v>
      </c>
      <c r="H6" s="5"/>
      <c r="I6" s="5"/>
      <c r="J6" s="5"/>
      <c r="K6" s="5" t="s">
        <v>473</v>
      </c>
    </row>
    <row r="7" spans="1:11" ht="74" x14ac:dyDescent="0.35">
      <c r="A7" s="5" t="s">
        <v>484</v>
      </c>
      <c r="B7" s="5" t="s">
        <v>684</v>
      </c>
      <c r="C7" s="23">
        <v>15931</v>
      </c>
      <c r="D7" s="23"/>
      <c r="E7" s="5" t="s">
        <v>485</v>
      </c>
      <c r="F7" s="5" t="s">
        <v>473</v>
      </c>
      <c r="G7" s="5" t="s">
        <v>381</v>
      </c>
      <c r="H7" s="5"/>
      <c r="I7" s="5"/>
      <c r="J7" s="5"/>
      <c r="K7" s="5" t="s">
        <v>473</v>
      </c>
    </row>
    <row r="8" spans="1:11" ht="55.5" x14ac:dyDescent="0.35">
      <c r="A8" s="5" t="s">
        <v>486</v>
      </c>
      <c r="B8" s="5" t="s">
        <v>685</v>
      </c>
      <c r="C8" s="23">
        <v>15957</v>
      </c>
      <c r="D8" s="23"/>
      <c r="E8" s="5" t="s">
        <v>487</v>
      </c>
      <c r="F8" s="5" t="s">
        <v>473</v>
      </c>
      <c r="G8" s="5"/>
      <c r="H8" s="5"/>
      <c r="I8" s="5"/>
      <c r="J8" s="5"/>
      <c r="K8" s="5" t="s">
        <v>473</v>
      </c>
    </row>
    <row r="9" spans="1:11" ht="55.5" x14ac:dyDescent="0.35">
      <c r="A9" s="5" t="s">
        <v>488</v>
      </c>
      <c r="B9" s="5" t="s">
        <v>489</v>
      </c>
      <c r="C9" s="23">
        <v>15980</v>
      </c>
      <c r="D9" s="23"/>
      <c r="E9" s="5" t="s">
        <v>492</v>
      </c>
      <c r="F9" s="5" t="s">
        <v>655</v>
      </c>
      <c r="G9" s="5"/>
      <c r="H9" s="5" t="s">
        <v>490</v>
      </c>
      <c r="I9" s="5" t="s">
        <v>491</v>
      </c>
      <c r="J9" s="5"/>
      <c r="K9" s="5"/>
    </row>
    <row r="10" spans="1:11" ht="37" x14ac:dyDescent="0.35">
      <c r="A10" s="5" t="s">
        <v>493</v>
      </c>
      <c r="B10" s="5" t="s">
        <v>494</v>
      </c>
      <c r="C10" s="23">
        <v>15972</v>
      </c>
      <c r="D10" s="23"/>
      <c r="E10" s="5" t="s">
        <v>496</v>
      </c>
      <c r="F10" s="5" t="s">
        <v>655</v>
      </c>
      <c r="G10" s="5" t="s">
        <v>495</v>
      </c>
      <c r="H10" s="5"/>
      <c r="I10" s="5"/>
      <c r="J10" s="5"/>
      <c r="K10" s="5" t="s">
        <v>473</v>
      </c>
    </row>
    <row r="11" spans="1:11" ht="74" x14ac:dyDescent="0.35">
      <c r="A11" s="5" t="s">
        <v>497</v>
      </c>
      <c r="B11" s="5" t="s">
        <v>686</v>
      </c>
      <c r="C11" s="23">
        <v>16072</v>
      </c>
      <c r="D11" s="23">
        <v>16552</v>
      </c>
      <c r="E11" s="5" t="s">
        <v>499</v>
      </c>
      <c r="F11" s="5" t="s">
        <v>655</v>
      </c>
      <c r="G11" s="5" t="s">
        <v>161</v>
      </c>
      <c r="H11" s="5"/>
      <c r="I11" s="5"/>
      <c r="J11" s="5" t="s">
        <v>74</v>
      </c>
      <c r="K11" s="5" t="s">
        <v>498</v>
      </c>
    </row>
    <row r="12" spans="1:11" ht="37" x14ac:dyDescent="0.35">
      <c r="A12" s="5" t="s">
        <v>500</v>
      </c>
      <c r="B12" s="5" t="s">
        <v>501</v>
      </c>
      <c r="C12" s="23">
        <v>16267</v>
      </c>
      <c r="D12" s="23"/>
      <c r="E12" s="5" t="s">
        <v>503</v>
      </c>
      <c r="F12" s="5" t="s">
        <v>8</v>
      </c>
      <c r="G12" s="5" t="s">
        <v>167</v>
      </c>
      <c r="H12" s="5"/>
      <c r="I12" s="5"/>
      <c r="J12" s="5" t="s">
        <v>8</v>
      </c>
      <c r="K12" s="5" t="s">
        <v>502</v>
      </c>
    </row>
    <row r="13" spans="1:11" ht="55.5" x14ac:dyDescent="0.35">
      <c r="A13" s="5" t="s">
        <v>504</v>
      </c>
      <c r="B13" s="5" t="s">
        <v>505</v>
      </c>
      <c r="C13" s="23">
        <v>16552</v>
      </c>
      <c r="D13" s="23"/>
      <c r="E13" s="5" t="s">
        <v>506</v>
      </c>
      <c r="F13" s="5" t="s">
        <v>473</v>
      </c>
      <c r="G13" s="5" t="s">
        <v>288</v>
      </c>
      <c r="H13" s="5"/>
      <c r="I13" s="5"/>
      <c r="J13" s="5"/>
      <c r="K13" s="5" t="s">
        <v>473</v>
      </c>
    </row>
    <row r="14" spans="1:11" ht="37" x14ac:dyDescent="0.35">
      <c r="A14" s="5" t="s">
        <v>507</v>
      </c>
      <c r="B14" s="5" t="s">
        <v>688</v>
      </c>
      <c r="C14" s="23">
        <v>16551</v>
      </c>
      <c r="D14" s="23"/>
      <c r="E14" s="5" t="s">
        <v>508</v>
      </c>
      <c r="F14" s="5" t="s">
        <v>8</v>
      </c>
      <c r="G14" s="5" t="s">
        <v>167</v>
      </c>
      <c r="H14" s="5"/>
      <c r="I14" s="5"/>
      <c r="J14" s="5" t="s">
        <v>8</v>
      </c>
      <c r="K14" s="5" t="s">
        <v>502</v>
      </c>
    </row>
    <row r="15" spans="1:11" ht="74" x14ac:dyDescent="0.35">
      <c r="A15" s="5" t="s">
        <v>509</v>
      </c>
      <c r="B15" s="5" t="s">
        <v>687</v>
      </c>
      <c r="C15" s="23">
        <v>16589</v>
      </c>
      <c r="D15" s="23"/>
      <c r="E15" s="5" t="s">
        <v>510</v>
      </c>
      <c r="F15" s="5" t="s">
        <v>8</v>
      </c>
      <c r="G15" s="5" t="s">
        <v>399</v>
      </c>
      <c r="H15" s="5"/>
      <c r="I15" s="5"/>
      <c r="J15" s="5" t="s">
        <v>8</v>
      </c>
      <c r="K15" s="5" t="s">
        <v>526</v>
      </c>
    </row>
    <row r="16" spans="1:11" ht="55.5" x14ac:dyDescent="0.35">
      <c r="A16" s="5" t="s">
        <v>511</v>
      </c>
      <c r="B16" s="5" t="s">
        <v>689</v>
      </c>
      <c r="C16" s="23">
        <v>16892</v>
      </c>
      <c r="D16" s="23"/>
      <c r="E16" s="5" t="s">
        <v>512</v>
      </c>
      <c r="F16" s="5" t="s">
        <v>8</v>
      </c>
      <c r="G16" s="5" t="s">
        <v>330</v>
      </c>
      <c r="H16" s="5"/>
      <c r="I16" s="5"/>
      <c r="J16" s="5" t="s">
        <v>8</v>
      </c>
      <c r="K16" s="5" t="s">
        <v>470</v>
      </c>
    </row>
    <row r="17" spans="1:11" s="38" customFormat="1" x14ac:dyDescent="0.35">
      <c r="A17" s="36"/>
      <c r="B17" s="36"/>
      <c r="C17" s="44"/>
      <c r="D17" s="44"/>
      <c r="E17" s="36"/>
      <c r="F17" s="36"/>
      <c r="G17" s="36"/>
      <c r="H17" s="36"/>
      <c r="I17" s="36"/>
      <c r="J17" s="36"/>
      <c r="K17" s="36"/>
    </row>
    <row r="18" spans="1:11" ht="55.5" x14ac:dyDescent="0.35">
      <c r="A18" s="5" t="s">
        <v>513</v>
      </c>
      <c r="B18" s="5" t="s">
        <v>690</v>
      </c>
      <c r="C18" s="23">
        <v>15158</v>
      </c>
      <c r="D18" s="23"/>
      <c r="E18" s="5" t="s">
        <v>514</v>
      </c>
      <c r="F18" s="5" t="s">
        <v>18</v>
      </c>
      <c r="G18" s="5" t="s">
        <v>403</v>
      </c>
      <c r="H18" s="5"/>
      <c r="I18" s="5"/>
      <c r="J18" s="5" t="s">
        <v>18</v>
      </c>
      <c r="K18" s="5" t="s">
        <v>470</v>
      </c>
    </row>
    <row r="19" spans="1:11" ht="55.5" x14ac:dyDescent="0.35">
      <c r="A19" s="5" t="s">
        <v>515</v>
      </c>
      <c r="B19" s="5" t="s">
        <v>691</v>
      </c>
      <c r="C19" s="23">
        <v>15207</v>
      </c>
      <c r="D19" s="23"/>
      <c r="E19" s="5" t="s">
        <v>518</v>
      </c>
      <c r="F19" s="5" t="s">
        <v>655</v>
      </c>
      <c r="G19" s="5" t="s">
        <v>411</v>
      </c>
      <c r="H19" s="5"/>
      <c r="I19" s="5"/>
      <c r="J19" s="5" t="s">
        <v>517</v>
      </c>
      <c r="K19" s="5" t="s">
        <v>516</v>
      </c>
    </row>
    <row r="20" spans="1:11" ht="111" x14ac:dyDescent="0.35">
      <c r="A20" s="5" t="s">
        <v>519</v>
      </c>
      <c r="B20" s="5" t="s">
        <v>520</v>
      </c>
      <c r="C20" s="23">
        <v>15232</v>
      </c>
      <c r="D20" s="23">
        <v>15378</v>
      </c>
      <c r="E20" s="5" t="s">
        <v>524</v>
      </c>
      <c r="F20" s="5" t="s">
        <v>18</v>
      </c>
      <c r="G20" s="5" t="s">
        <v>521</v>
      </c>
      <c r="H20" s="5" t="s">
        <v>522</v>
      </c>
      <c r="I20" s="5" t="s">
        <v>523</v>
      </c>
      <c r="J20" s="5" t="s">
        <v>18</v>
      </c>
      <c r="K20" s="5" t="s">
        <v>477</v>
      </c>
    </row>
    <row r="21" spans="1:11" ht="55.5" x14ac:dyDescent="0.35">
      <c r="A21" s="5" t="s">
        <v>525</v>
      </c>
      <c r="B21" s="5" t="s">
        <v>692</v>
      </c>
      <c r="C21" s="23">
        <v>15432</v>
      </c>
      <c r="D21" s="23"/>
      <c r="E21" s="5" t="s">
        <v>527</v>
      </c>
      <c r="F21" s="5" t="s">
        <v>18</v>
      </c>
      <c r="G21" s="5" t="s">
        <v>403</v>
      </c>
      <c r="H21" s="5"/>
      <c r="I21" s="5"/>
      <c r="J21" s="5" t="s">
        <v>18</v>
      </c>
      <c r="K21" s="5" t="s">
        <v>526</v>
      </c>
    </row>
    <row r="22" spans="1:11" ht="55.5" x14ac:dyDescent="0.35">
      <c r="A22" s="5" t="s">
        <v>528</v>
      </c>
      <c r="B22" s="5" t="s">
        <v>694</v>
      </c>
      <c r="C22" s="23">
        <v>16011</v>
      </c>
      <c r="D22" s="23"/>
      <c r="E22" s="5" t="s">
        <v>530</v>
      </c>
      <c r="F22" s="5" t="s">
        <v>655</v>
      </c>
      <c r="G22" s="5" t="s">
        <v>529</v>
      </c>
      <c r="H22" s="5"/>
      <c r="I22" s="5"/>
      <c r="J22" s="5" t="s">
        <v>517</v>
      </c>
      <c r="K22" s="5" t="s">
        <v>516</v>
      </c>
    </row>
    <row r="23" spans="1:11" ht="74" x14ac:dyDescent="0.35">
      <c r="A23" s="5" t="s">
        <v>531</v>
      </c>
      <c r="B23" s="5" t="s">
        <v>693</v>
      </c>
      <c r="C23" s="23">
        <v>16108</v>
      </c>
      <c r="D23" s="23">
        <v>16137</v>
      </c>
      <c r="E23" s="5" t="s">
        <v>535</v>
      </c>
      <c r="F23" s="5" t="s">
        <v>18</v>
      </c>
      <c r="G23" s="23" t="s">
        <v>532</v>
      </c>
      <c r="H23" s="5" t="s">
        <v>523</v>
      </c>
      <c r="I23" s="5" t="s">
        <v>533</v>
      </c>
      <c r="J23" s="5" t="s">
        <v>18</v>
      </c>
      <c r="K23" s="5" t="s">
        <v>534</v>
      </c>
    </row>
    <row r="24" spans="1:11" ht="55.5" x14ac:dyDescent="0.35">
      <c r="A24" s="5" t="s">
        <v>536</v>
      </c>
      <c r="B24" s="5" t="s">
        <v>537</v>
      </c>
      <c r="C24" s="23">
        <v>16228</v>
      </c>
      <c r="D24" s="23"/>
      <c r="E24" s="5" t="s">
        <v>539</v>
      </c>
      <c r="F24" s="5" t="s">
        <v>473</v>
      </c>
      <c r="G24" s="5" t="s">
        <v>292</v>
      </c>
      <c r="H24" s="5"/>
      <c r="I24" s="5"/>
      <c r="J24" s="5"/>
      <c r="K24" s="5" t="s">
        <v>538</v>
      </c>
    </row>
    <row r="25" spans="1:11" ht="37" x14ac:dyDescent="0.35">
      <c r="A25" s="5" t="s">
        <v>540</v>
      </c>
      <c r="B25" s="5" t="s">
        <v>695</v>
      </c>
      <c r="C25" s="23">
        <v>16224</v>
      </c>
      <c r="D25" s="23"/>
      <c r="E25" s="5" t="s">
        <v>541</v>
      </c>
      <c r="F25" s="5" t="s">
        <v>18</v>
      </c>
      <c r="G25" s="5" t="s">
        <v>403</v>
      </c>
      <c r="H25" s="5" t="s">
        <v>533</v>
      </c>
      <c r="I25" s="5" t="s">
        <v>522</v>
      </c>
      <c r="J25" s="5" t="s">
        <v>18</v>
      </c>
      <c r="K25" s="5" t="s">
        <v>526</v>
      </c>
    </row>
    <row r="26" spans="1:11" s="38" customFormat="1" x14ac:dyDescent="0.35">
      <c r="A26" s="36"/>
      <c r="B26" s="36"/>
      <c r="C26" s="44"/>
      <c r="D26" s="44"/>
      <c r="E26" s="36"/>
      <c r="F26" s="36"/>
      <c r="G26" s="36"/>
      <c r="H26" s="36"/>
      <c r="I26" s="36"/>
      <c r="J26" s="36"/>
      <c r="K26" s="36"/>
    </row>
    <row r="27" spans="1:11" ht="37" x14ac:dyDescent="0.35">
      <c r="A27" s="5" t="s">
        <v>542</v>
      </c>
      <c r="B27" s="5" t="s">
        <v>671</v>
      </c>
      <c r="C27" s="23">
        <v>14519</v>
      </c>
      <c r="D27" s="23"/>
      <c r="E27" s="5" t="s">
        <v>543</v>
      </c>
      <c r="F27" s="5" t="s">
        <v>29</v>
      </c>
      <c r="G27" s="5" t="s">
        <v>200</v>
      </c>
      <c r="H27" s="5"/>
      <c r="I27" s="5"/>
      <c r="J27" s="5" t="s">
        <v>29</v>
      </c>
      <c r="K27" s="5" t="s">
        <v>498</v>
      </c>
    </row>
    <row r="28" spans="1:11" ht="55.5" x14ac:dyDescent="0.35">
      <c r="A28" s="5" t="s">
        <v>544</v>
      </c>
      <c r="B28" s="5" t="s">
        <v>672</v>
      </c>
      <c r="C28" s="23">
        <v>14702</v>
      </c>
      <c r="D28" s="23"/>
      <c r="E28" s="5" t="s">
        <v>545</v>
      </c>
      <c r="F28" s="5" t="s">
        <v>29</v>
      </c>
      <c r="G28" s="5"/>
      <c r="H28" s="5"/>
      <c r="I28" s="5"/>
      <c r="J28" s="5" t="s">
        <v>29</v>
      </c>
      <c r="K28" s="5" t="s">
        <v>546</v>
      </c>
    </row>
    <row r="29" spans="1:11" ht="74" x14ac:dyDescent="0.35">
      <c r="A29" s="5" t="s">
        <v>547</v>
      </c>
      <c r="B29" s="5" t="s">
        <v>673</v>
      </c>
      <c r="C29" s="23">
        <v>14770</v>
      </c>
      <c r="D29" s="23">
        <v>14780</v>
      </c>
      <c r="E29" s="5" t="s">
        <v>548</v>
      </c>
      <c r="F29" s="5" t="s">
        <v>29</v>
      </c>
      <c r="G29" s="5" t="s">
        <v>549</v>
      </c>
      <c r="H29" s="5" t="s">
        <v>550</v>
      </c>
      <c r="I29" s="5" t="s">
        <v>211</v>
      </c>
      <c r="J29" s="5" t="s">
        <v>29</v>
      </c>
      <c r="K29" s="5" t="s">
        <v>551</v>
      </c>
    </row>
    <row r="30" spans="1:11" ht="37" x14ac:dyDescent="0.35">
      <c r="A30" s="5" t="s">
        <v>552</v>
      </c>
      <c r="B30" s="5" t="s">
        <v>674</v>
      </c>
      <c r="C30" s="23">
        <v>14900</v>
      </c>
      <c r="D30" s="23"/>
      <c r="E30" s="5" t="s">
        <v>553</v>
      </c>
      <c r="F30" s="5" t="s">
        <v>29</v>
      </c>
      <c r="G30" s="5" t="s">
        <v>554</v>
      </c>
      <c r="H30" s="5" t="s">
        <v>311</v>
      </c>
      <c r="I30" s="5" t="s">
        <v>211</v>
      </c>
      <c r="J30" s="5" t="s">
        <v>29</v>
      </c>
      <c r="K30" s="5" t="s">
        <v>551</v>
      </c>
    </row>
    <row r="31" spans="1:11" ht="92.5" x14ac:dyDescent="0.35">
      <c r="A31" s="5" t="s">
        <v>555</v>
      </c>
      <c r="B31" s="5" t="s">
        <v>676</v>
      </c>
      <c r="C31" s="23">
        <v>15817</v>
      </c>
      <c r="D31" s="23">
        <v>15883</v>
      </c>
      <c r="E31" s="5" t="s">
        <v>556</v>
      </c>
      <c r="F31" s="5" t="s">
        <v>29</v>
      </c>
      <c r="G31" s="5" t="s">
        <v>557</v>
      </c>
      <c r="H31" s="5" t="s">
        <v>558</v>
      </c>
      <c r="I31" s="5" t="s">
        <v>372</v>
      </c>
      <c r="J31" s="5" t="s">
        <v>29</v>
      </c>
      <c r="K31" s="5" t="s">
        <v>551</v>
      </c>
    </row>
    <row r="32" spans="1:11" ht="92.5" x14ac:dyDescent="0.35">
      <c r="A32" s="5" t="s">
        <v>559</v>
      </c>
      <c r="B32" s="5" t="s">
        <v>675</v>
      </c>
      <c r="C32" s="23">
        <v>15817</v>
      </c>
      <c r="D32" s="23"/>
      <c r="E32" s="5" t="s">
        <v>560</v>
      </c>
      <c r="F32" s="5" t="s">
        <v>29</v>
      </c>
      <c r="G32" s="5" t="s">
        <v>561</v>
      </c>
      <c r="H32" s="5" t="s">
        <v>342</v>
      </c>
      <c r="I32" s="5" t="s">
        <v>372</v>
      </c>
      <c r="J32" s="5" t="s">
        <v>562</v>
      </c>
      <c r="K32" s="5" t="s">
        <v>551</v>
      </c>
    </row>
    <row r="33" spans="1:11" ht="74" x14ac:dyDescent="0.35">
      <c r="A33" s="5" t="s">
        <v>563</v>
      </c>
      <c r="B33" s="5" t="s">
        <v>668</v>
      </c>
      <c r="C33" s="23">
        <v>15839</v>
      </c>
      <c r="D33" s="23"/>
      <c r="E33" s="5" t="s">
        <v>564</v>
      </c>
      <c r="F33" s="5" t="s">
        <v>29</v>
      </c>
      <c r="G33" s="5" t="s">
        <v>565</v>
      </c>
      <c r="H33" s="5" t="s">
        <v>566</v>
      </c>
      <c r="I33" s="5" t="s">
        <v>372</v>
      </c>
      <c r="J33" s="5" t="s">
        <v>669</v>
      </c>
      <c r="K33" s="5" t="s">
        <v>551</v>
      </c>
    </row>
    <row r="34" spans="1:11" ht="92.5" x14ac:dyDescent="0.35">
      <c r="A34" s="5" t="s">
        <v>567</v>
      </c>
      <c r="B34" s="5" t="s">
        <v>667</v>
      </c>
      <c r="C34" s="23">
        <v>15872</v>
      </c>
      <c r="D34" s="23"/>
      <c r="E34" s="5" t="s">
        <v>568</v>
      </c>
      <c r="F34" s="5" t="s">
        <v>29</v>
      </c>
      <c r="G34" s="5" t="s">
        <v>569</v>
      </c>
      <c r="H34" s="5" t="s">
        <v>570</v>
      </c>
      <c r="I34" s="5" t="s">
        <v>372</v>
      </c>
      <c r="J34" s="5" t="s">
        <v>29</v>
      </c>
      <c r="K34" s="5" t="s">
        <v>551</v>
      </c>
    </row>
    <row r="35" spans="1:11" ht="55.5" x14ac:dyDescent="0.35">
      <c r="A35" s="5" t="s">
        <v>571</v>
      </c>
      <c r="B35" s="5" t="s">
        <v>666</v>
      </c>
      <c r="C35" s="23">
        <v>15883</v>
      </c>
      <c r="D35" s="23"/>
      <c r="E35" s="5" t="s">
        <v>572</v>
      </c>
      <c r="F35" s="5" t="s">
        <v>29</v>
      </c>
      <c r="G35" s="5" t="s">
        <v>573</v>
      </c>
      <c r="H35" s="5" t="s">
        <v>288</v>
      </c>
      <c r="I35" s="5" t="s">
        <v>372</v>
      </c>
      <c r="J35" s="5" t="s">
        <v>670</v>
      </c>
      <c r="K35" s="5" t="s">
        <v>551</v>
      </c>
    </row>
    <row r="36" spans="1:11" ht="166.5" x14ac:dyDescent="0.35">
      <c r="A36" s="5" t="s">
        <v>574</v>
      </c>
      <c r="B36" s="5" t="s">
        <v>664</v>
      </c>
      <c r="C36" s="23">
        <v>15998</v>
      </c>
      <c r="D36" s="23">
        <v>16000</v>
      </c>
      <c r="E36" s="5" t="s">
        <v>665</v>
      </c>
      <c r="F36" s="5" t="s">
        <v>473</v>
      </c>
      <c r="G36" s="5" t="s">
        <v>575</v>
      </c>
      <c r="H36" s="5" t="s">
        <v>211</v>
      </c>
      <c r="I36" s="5" t="s">
        <v>576</v>
      </c>
      <c r="J36" s="5" t="s">
        <v>29</v>
      </c>
      <c r="K36" s="5" t="s">
        <v>577</v>
      </c>
    </row>
    <row r="37" spans="1:11" ht="148" x14ac:dyDescent="0.35">
      <c r="A37" s="5" t="s">
        <v>578</v>
      </c>
      <c r="B37" s="5" t="s">
        <v>661</v>
      </c>
      <c r="C37" s="23">
        <v>16011</v>
      </c>
      <c r="D37" s="23">
        <v>16041</v>
      </c>
      <c r="E37" s="5" t="s">
        <v>579</v>
      </c>
      <c r="F37" s="5" t="s">
        <v>29</v>
      </c>
      <c r="G37" s="5" t="s">
        <v>580</v>
      </c>
      <c r="H37" s="5" t="s">
        <v>372</v>
      </c>
      <c r="I37" s="5" t="s">
        <v>581</v>
      </c>
      <c r="J37" s="5" t="s">
        <v>29</v>
      </c>
      <c r="K37" s="5" t="s">
        <v>582</v>
      </c>
    </row>
    <row r="38" spans="1:11" ht="74" x14ac:dyDescent="0.35">
      <c r="A38" s="5" t="s">
        <v>583</v>
      </c>
      <c r="B38" s="5" t="s">
        <v>663</v>
      </c>
      <c r="C38" s="23">
        <v>16062</v>
      </c>
      <c r="D38" s="23">
        <v>16087</v>
      </c>
      <c r="E38" s="5" t="s">
        <v>584</v>
      </c>
      <c r="F38" s="5" t="s">
        <v>29</v>
      </c>
      <c r="G38" s="5" t="s">
        <v>585</v>
      </c>
      <c r="H38" s="5" t="s">
        <v>581</v>
      </c>
      <c r="I38" s="5" t="s">
        <v>325</v>
      </c>
      <c r="J38" s="5" t="s">
        <v>29</v>
      </c>
      <c r="K38" s="5" t="s">
        <v>551</v>
      </c>
    </row>
    <row r="39" spans="1:11" ht="37" x14ac:dyDescent="0.35">
      <c r="A39" s="5" t="s">
        <v>754</v>
      </c>
      <c r="B39" s="5" t="s">
        <v>660</v>
      </c>
      <c r="C39" s="23">
        <v>16062</v>
      </c>
      <c r="D39" s="23">
        <v>16087</v>
      </c>
      <c r="E39" s="5" t="s">
        <v>586</v>
      </c>
      <c r="F39" s="5" t="s">
        <v>29</v>
      </c>
      <c r="G39" s="5" t="s">
        <v>587</v>
      </c>
      <c r="H39" s="5" t="s">
        <v>372</v>
      </c>
      <c r="I39" s="5" t="s">
        <v>325</v>
      </c>
      <c r="J39" s="5" t="s">
        <v>29</v>
      </c>
      <c r="K39" s="5" t="s">
        <v>551</v>
      </c>
    </row>
    <row r="40" spans="1:11" ht="74" x14ac:dyDescent="0.35">
      <c r="A40" s="5" t="s">
        <v>588</v>
      </c>
      <c r="B40" s="5" t="s">
        <v>662</v>
      </c>
      <c r="C40" s="23">
        <v>16062</v>
      </c>
      <c r="D40" s="23">
        <v>16087</v>
      </c>
      <c r="E40" s="5" t="s">
        <v>658</v>
      </c>
      <c r="F40" s="5" t="s">
        <v>29</v>
      </c>
      <c r="G40" s="5" t="s">
        <v>589</v>
      </c>
      <c r="H40" s="5" t="s">
        <v>590</v>
      </c>
      <c r="I40" s="5" t="s">
        <v>211</v>
      </c>
      <c r="J40" s="5" t="s">
        <v>29</v>
      </c>
      <c r="K40" s="5" t="s">
        <v>551</v>
      </c>
    </row>
    <row r="41" spans="1:11" ht="74" x14ac:dyDescent="0.35">
      <c r="A41" s="5" t="s">
        <v>591</v>
      </c>
      <c r="B41" s="5" t="s">
        <v>592</v>
      </c>
      <c r="C41" s="23">
        <v>16314</v>
      </c>
      <c r="D41" s="23"/>
      <c r="E41" s="5" t="s">
        <v>656</v>
      </c>
      <c r="F41" s="5" t="s">
        <v>473</v>
      </c>
      <c r="G41" s="5" t="s">
        <v>284</v>
      </c>
      <c r="H41" s="5"/>
      <c r="I41" s="5"/>
      <c r="J41" s="5"/>
      <c r="K41" s="5" t="s">
        <v>538</v>
      </c>
    </row>
    <row r="42" spans="1:11" ht="37" x14ac:dyDescent="0.35">
      <c r="A42" s="5" t="s">
        <v>593</v>
      </c>
      <c r="B42" s="5" t="s">
        <v>659</v>
      </c>
      <c r="C42" s="23">
        <v>16694</v>
      </c>
      <c r="D42" s="23">
        <v>16923</v>
      </c>
      <c r="E42" s="5" t="s">
        <v>657</v>
      </c>
      <c r="F42" s="5" t="s">
        <v>29</v>
      </c>
      <c r="G42" s="5" t="s">
        <v>211</v>
      </c>
      <c r="H42" s="5"/>
      <c r="I42" s="5"/>
      <c r="J42" s="5" t="s">
        <v>29</v>
      </c>
      <c r="K42" s="5" t="s">
        <v>526</v>
      </c>
    </row>
    <row r="43" spans="1:11" s="38" customFormat="1" x14ac:dyDescent="0.35">
      <c r="A43" s="36"/>
      <c r="B43" s="36"/>
      <c r="C43" s="44"/>
      <c r="D43" s="44"/>
      <c r="E43" s="36"/>
      <c r="F43" s="36"/>
      <c r="G43" s="36"/>
      <c r="H43" s="36"/>
      <c r="I43" s="36"/>
      <c r="J43" s="36"/>
      <c r="K43" s="36"/>
    </row>
    <row r="44" spans="1:11" ht="55.5" x14ac:dyDescent="0.35">
      <c r="A44" s="5" t="s">
        <v>949</v>
      </c>
      <c r="B44" s="5" t="s">
        <v>965</v>
      </c>
      <c r="C44" s="23">
        <v>14246</v>
      </c>
      <c r="D44" s="23"/>
      <c r="E44" s="5" t="s">
        <v>964</v>
      </c>
      <c r="F44" s="5" t="s">
        <v>93</v>
      </c>
      <c r="G44" s="5" t="s">
        <v>959</v>
      </c>
      <c r="H44" s="5"/>
      <c r="I44" s="5"/>
      <c r="J44" s="5" t="s">
        <v>93</v>
      </c>
      <c r="K44" s="5" t="s">
        <v>498</v>
      </c>
    </row>
    <row r="45" spans="1:11" ht="55.5" x14ac:dyDescent="0.35">
      <c r="A45" s="5" t="s">
        <v>950</v>
      </c>
      <c r="B45" s="5" t="s">
        <v>966</v>
      </c>
      <c r="C45" s="23">
        <v>14977</v>
      </c>
      <c r="D45" s="23"/>
      <c r="E45" s="5" t="s">
        <v>963</v>
      </c>
      <c r="F45" s="5" t="s">
        <v>93</v>
      </c>
      <c r="G45" s="5" t="s">
        <v>959</v>
      </c>
      <c r="H45" s="5"/>
      <c r="I45" s="5"/>
      <c r="J45" s="5" t="s">
        <v>93</v>
      </c>
      <c r="K45" s="5" t="s">
        <v>498</v>
      </c>
    </row>
    <row r="46" spans="1:11" ht="92.5" x14ac:dyDescent="0.35">
      <c r="A46" s="5" t="s">
        <v>951</v>
      </c>
      <c r="B46" s="5" t="s">
        <v>855</v>
      </c>
      <c r="C46" s="23">
        <v>14618</v>
      </c>
      <c r="D46" s="23"/>
      <c r="E46" s="5" t="s">
        <v>972</v>
      </c>
      <c r="F46" s="5" t="s">
        <v>655</v>
      </c>
      <c r="G46" s="5"/>
      <c r="H46" s="5"/>
      <c r="I46" s="5"/>
      <c r="J46" s="5" t="s">
        <v>958</v>
      </c>
      <c r="K46" s="5" t="s">
        <v>516</v>
      </c>
    </row>
    <row r="47" spans="1:11" ht="74" x14ac:dyDescent="0.35">
      <c r="A47" s="5" t="s">
        <v>952</v>
      </c>
      <c r="B47" s="5" t="s">
        <v>967</v>
      </c>
      <c r="C47" s="23">
        <v>14795</v>
      </c>
      <c r="D47" s="23">
        <v>14797</v>
      </c>
      <c r="E47" s="5" t="s">
        <v>971</v>
      </c>
      <c r="F47" s="5" t="s">
        <v>93</v>
      </c>
      <c r="G47" s="5" t="s">
        <v>960</v>
      </c>
      <c r="H47" s="5" t="s">
        <v>959</v>
      </c>
      <c r="I47" s="5" t="s">
        <v>961</v>
      </c>
      <c r="J47" s="5" t="s">
        <v>93</v>
      </c>
      <c r="K47" s="5" t="s">
        <v>859</v>
      </c>
    </row>
    <row r="48" spans="1:11" ht="92.5" x14ac:dyDescent="0.35">
      <c r="A48" s="5" t="s">
        <v>953</v>
      </c>
      <c r="B48" s="5" t="s">
        <v>968</v>
      </c>
      <c r="C48" s="23">
        <v>15773</v>
      </c>
      <c r="D48" s="23">
        <v>15799</v>
      </c>
      <c r="E48" s="5" t="s">
        <v>969</v>
      </c>
      <c r="F48" s="5" t="s">
        <v>93</v>
      </c>
      <c r="G48" s="5" t="s">
        <v>959</v>
      </c>
      <c r="H48" s="5" t="s">
        <v>959</v>
      </c>
      <c r="I48" s="5" t="s">
        <v>961</v>
      </c>
      <c r="J48" s="5" t="s">
        <v>958</v>
      </c>
      <c r="K48" s="5" t="s">
        <v>859</v>
      </c>
    </row>
    <row r="49" spans="1:11" ht="74" x14ac:dyDescent="0.35">
      <c r="A49" s="5" t="s">
        <v>954</v>
      </c>
      <c r="B49" s="5" t="s">
        <v>973</v>
      </c>
      <c r="C49" s="23">
        <v>15801</v>
      </c>
      <c r="D49" s="23"/>
      <c r="E49" s="5" t="s">
        <v>970</v>
      </c>
      <c r="F49" s="5" t="s">
        <v>473</v>
      </c>
      <c r="G49" s="5" t="s">
        <v>959</v>
      </c>
      <c r="H49" s="5"/>
      <c r="I49" s="5"/>
      <c r="J49" s="5"/>
      <c r="K49" s="5" t="s">
        <v>473</v>
      </c>
    </row>
    <row r="50" spans="1:11" ht="74" x14ac:dyDescent="0.35">
      <c r="A50" s="5" t="s">
        <v>955</v>
      </c>
      <c r="B50" s="5" t="s">
        <v>974</v>
      </c>
      <c r="C50" s="23">
        <v>15896</v>
      </c>
      <c r="D50" s="23">
        <v>15897</v>
      </c>
      <c r="E50" s="5" t="s">
        <v>978</v>
      </c>
      <c r="F50" s="5" t="s">
        <v>473</v>
      </c>
      <c r="G50" s="5" t="str">
        <f>_xlfn.TEXTJOIN("; ", TRUE,LUOGHI!A75,LUOGHI!A76,LUOGHI!A77,LUOGHI!A78,LUOGHI!A79,LUOGHI!A80,LUOGHI!A81)</f>
        <v>Licata_loc; Gela_loc; Scoglitti_loc; Pachino_loc; Marzamemi_loc; Avola_loc; Siracusa_loc</v>
      </c>
      <c r="H50" s="5"/>
      <c r="I50" s="5"/>
      <c r="J50" s="5"/>
      <c r="K50" s="5" t="s">
        <v>629</v>
      </c>
    </row>
    <row r="51" spans="1:11" ht="37" x14ac:dyDescent="0.35">
      <c r="A51" s="5" t="s">
        <v>956</v>
      </c>
      <c r="B51" s="5" t="s">
        <v>975</v>
      </c>
      <c r="C51" s="23">
        <v>16438</v>
      </c>
      <c r="D51" s="23">
        <v>19085</v>
      </c>
      <c r="E51" s="5" t="s">
        <v>979</v>
      </c>
      <c r="F51" s="5" t="s">
        <v>93</v>
      </c>
      <c r="G51" s="5" t="s">
        <v>959</v>
      </c>
      <c r="H51" s="5"/>
      <c r="I51" s="5"/>
      <c r="J51" s="5" t="s">
        <v>93</v>
      </c>
      <c r="K51" s="5" t="s">
        <v>526</v>
      </c>
    </row>
    <row r="52" spans="1:11" ht="55.5" x14ac:dyDescent="0.35">
      <c r="A52" s="5" t="s">
        <v>957</v>
      </c>
      <c r="B52" s="5" t="s">
        <v>976</v>
      </c>
      <c r="C52" s="23">
        <v>19085</v>
      </c>
      <c r="D52" s="23"/>
      <c r="E52" s="5" t="s">
        <v>977</v>
      </c>
      <c r="F52" s="5" t="s">
        <v>93</v>
      </c>
      <c r="G52" s="5" t="s">
        <v>959</v>
      </c>
      <c r="H52" s="5"/>
      <c r="I52" s="5"/>
      <c r="J52" s="5" t="s">
        <v>93</v>
      </c>
      <c r="K52" s="5" t="s">
        <v>526</v>
      </c>
    </row>
    <row r="53" spans="1:11" s="38" customFormat="1" x14ac:dyDescent="0.35">
      <c r="A53" s="36"/>
      <c r="B53" s="36"/>
      <c r="C53" s="44"/>
      <c r="D53" s="44"/>
      <c r="E53" s="36"/>
      <c r="F53" s="36"/>
      <c r="G53" s="36"/>
      <c r="H53" s="36"/>
      <c r="I53" s="36"/>
      <c r="J53" s="36"/>
      <c r="K53" s="36"/>
    </row>
    <row r="54" spans="1:11" ht="55.5" x14ac:dyDescent="0.35">
      <c r="A54" s="5" t="s">
        <v>1071</v>
      </c>
      <c r="B54" s="5" t="s">
        <v>1007</v>
      </c>
      <c r="C54" s="23">
        <v>14611</v>
      </c>
      <c r="D54" s="23">
        <v>14763</v>
      </c>
      <c r="E54" s="5" t="s">
        <v>1076</v>
      </c>
      <c r="F54" s="5" t="s">
        <v>87</v>
      </c>
      <c r="G54" s="5" t="s">
        <v>1081</v>
      </c>
      <c r="H54" s="5" t="s">
        <v>1077</v>
      </c>
      <c r="I54" s="5" t="s">
        <v>1082</v>
      </c>
      <c r="J54" s="5" t="s">
        <v>1020</v>
      </c>
      <c r="K54" s="5" t="s">
        <v>859</v>
      </c>
    </row>
    <row r="55" spans="1:11" ht="55.5" x14ac:dyDescent="0.35">
      <c r="A55" s="5" t="s">
        <v>1072</v>
      </c>
      <c r="B55" s="5" t="s">
        <v>1008</v>
      </c>
      <c r="C55" s="23">
        <v>14782</v>
      </c>
      <c r="D55" s="23"/>
      <c r="E55" s="5" t="s">
        <v>1074</v>
      </c>
      <c r="F55" s="5" t="s">
        <v>87</v>
      </c>
      <c r="G55" s="5" t="s">
        <v>1083</v>
      </c>
      <c r="H55" s="5" t="s">
        <v>1082</v>
      </c>
      <c r="I55" s="5" t="s">
        <v>1084</v>
      </c>
      <c r="J55" s="5" t="s">
        <v>1021</v>
      </c>
      <c r="K55" s="5" t="s">
        <v>859</v>
      </c>
    </row>
    <row r="56" spans="1:11" ht="55.5" x14ac:dyDescent="0.35">
      <c r="A56" s="5" t="s">
        <v>1073</v>
      </c>
      <c r="B56" s="5" t="s">
        <v>1009</v>
      </c>
      <c r="C56" s="23">
        <v>16241</v>
      </c>
      <c r="D56" s="23">
        <v>16273</v>
      </c>
      <c r="E56" s="5" t="s">
        <v>1075</v>
      </c>
      <c r="F56" s="5" t="s">
        <v>87</v>
      </c>
      <c r="G56" s="5" t="s">
        <v>1085</v>
      </c>
      <c r="H56" s="5" t="s">
        <v>1084</v>
      </c>
      <c r="I56" s="5" t="s">
        <v>1086</v>
      </c>
      <c r="J56" s="5" t="s">
        <v>1020</v>
      </c>
      <c r="K56" s="5" t="s">
        <v>859</v>
      </c>
    </row>
    <row r="57" spans="1:11" s="38" customFormat="1" x14ac:dyDescent="0.35">
      <c r="A57" s="36"/>
      <c r="B57" s="36"/>
      <c r="C57" s="44"/>
      <c r="D57" s="44"/>
      <c r="E57" s="36"/>
      <c r="F57" s="36"/>
      <c r="G57" s="36"/>
      <c r="H57" s="36"/>
      <c r="I57" s="36"/>
      <c r="J57" s="36"/>
      <c r="K57" s="36"/>
    </row>
    <row r="58" spans="1:11" ht="55.5" x14ac:dyDescent="0.35">
      <c r="A58" s="5" t="s">
        <v>1236</v>
      </c>
      <c r="B58" s="5" t="s">
        <v>1271</v>
      </c>
      <c r="C58" s="23">
        <v>13516</v>
      </c>
      <c r="D58" s="23"/>
      <c r="E58" s="5" t="s">
        <v>1269</v>
      </c>
      <c r="F58" s="5" t="s">
        <v>98</v>
      </c>
      <c r="G58" s="122" t="s">
        <v>1311</v>
      </c>
      <c r="H58" s="122"/>
      <c r="I58" s="122"/>
      <c r="J58" s="5" t="s">
        <v>98</v>
      </c>
      <c r="K58" s="5" t="s">
        <v>470</v>
      </c>
    </row>
    <row r="59" spans="1:11" ht="74" x14ac:dyDescent="0.35">
      <c r="A59" s="5" t="s">
        <v>1237</v>
      </c>
      <c r="B59" s="5" t="s">
        <v>1270</v>
      </c>
      <c r="C59" s="23">
        <v>14246</v>
      </c>
      <c r="D59" s="23"/>
      <c r="E59" s="5" t="s">
        <v>1272</v>
      </c>
      <c r="F59" s="5" t="s">
        <v>98</v>
      </c>
      <c r="G59" s="122" t="s">
        <v>1312</v>
      </c>
      <c r="H59" s="122"/>
      <c r="I59" s="122"/>
      <c r="J59" s="5" t="s">
        <v>98</v>
      </c>
      <c r="K59" s="5" t="s">
        <v>498</v>
      </c>
    </row>
    <row r="60" spans="1:11" ht="55.5" x14ac:dyDescent="0.35">
      <c r="A60" s="5" t="s">
        <v>1238</v>
      </c>
      <c r="B60" s="5" t="s">
        <v>1274</v>
      </c>
      <c r="C60" s="23">
        <v>12420</v>
      </c>
      <c r="D60" s="23">
        <v>13516</v>
      </c>
      <c r="E60" s="5" t="s">
        <v>1273</v>
      </c>
      <c r="F60" s="5" t="s">
        <v>98</v>
      </c>
      <c r="G60" s="122" t="s">
        <v>1313</v>
      </c>
      <c r="H60" s="122"/>
      <c r="I60" s="122"/>
      <c r="J60" s="5" t="s">
        <v>98</v>
      </c>
      <c r="K60" s="5" t="s">
        <v>470</v>
      </c>
    </row>
    <row r="61" spans="1:11" ht="55.5" x14ac:dyDescent="0.35">
      <c r="A61" s="5" t="s">
        <v>1246</v>
      </c>
      <c r="B61" s="5" t="s">
        <v>1275</v>
      </c>
      <c r="C61" s="23">
        <v>14671</v>
      </c>
      <c r="D61" s="23">
        <v>15373</v>
      </c>
      <c r="E61" s="5" t="s">
        <v>1276</v>
      </c>
      <c r="F61" s="5" t="s">
        <v>98</v>
      </c>
      <c r="G61" s="123"/>
      <c r="H61" s="122"/>
      <c r="I61" s="122"/>
      <c r="J61" s="5" t="s">
        <v>98</v>
      </c>
      <c r="K61" s="5" t="s">
        <v>498</v>
      </c>
    </row>
    <row r="62" spans="1:11" ht="111" x14ac:dyDescent="0.35">
      <c r="A62" s="5" t="s">
        <v>1247</v>
      </c>
      <c r="B62" s="5" t="s">
        <v>1277</v>
      </c>
      <c r="C62" s="23">
        <v>14772</v>
      </c>
      <c r="D62" s="23"/>
      <c r="E62" s="5" t="s">
        <v>1279</v>
      </c>
      <c r="F62" s="5" t="s">
        <v>473</v>
      </c>
      <c r="G62" s="122" t="s">
        <v>1314</v>
      </c>
      <c r="H62" s="122" t="s">
        <v>1110</v>
      </c>
      <c r="I62" s="122" t="s">
        <v>1315</v>
      </c>
      <c r="J62" s="5" t="s">
        <v>98</v>
      </c>
      <c r="K62" s="5" t="s">
        <v>516</v>
      </c>
    </row>
    <row r="63" spans="1:11" ht="74" x14ac:dyDescent="0.35">
      <c r="A63" s="5" t="s">
        <v>1248</v>
      </c>
      <c r="B63" s="5" t="s">
        <v>1278</v>
      </c>
      <c r="C63" s="23">
        <v>14855</v>
      </c>
      <c r="D63" s="23"/>
      <c r="E63" s="5" t="s">
        <v>1280</v>
      </c>
      <c r="F63" s="5" t="s">
        <v>98</v>
      </c>
      <c r="G63" s="122" t="s">
        <v>1316</v>
      </c>
      <c r="H63" s="122" t="s">
        <v>1315</v>
      </c>
      <c r="I63" s="122" t="s">
        <v>1317</v>
      </c>
      <c r="J63" s="5" t="s">
        <v>98</v>
      </c>
      <c r="K63" s="5" t="s">
        <v>859</v>
      </c>
    </row>
    <row r="64" spans="1:11" ht="55.5" x14ac:dyDescent="0.35">
      <c r="A64" s="5" t="s">
        <v>1249</v>
      </c>
      <c r="B64" s="5" t="s">
        <v>1281</v>
      </c>
      <c r="C64" s="23">
        <v>15959</v>
      </c>
      <c r="D64" s="23"/>
      <c r="E64" s="5" t="s">
        <v>1282</v>
      </c>
      <c r="F64" s="5" t="s">
        <v>98</v>
      </c>
      <c r="G64" s="122" t="s">
        <v>1317</v>
      </c>
      <c r="H64" s="122"/>
      <c r="I64" s="122"/>
      <c r="J64" s="5" t="s">
        <v>98</v>
      </c>
      <c r="K64" s="5" t="s">
        <v>620</v>
      </c>
    </row>
    <row r="65" spans="1:11" ht="74" x14ac:dyDescent="0.35">
      <c r="A65" s="5" t="s">
        <v>1250</v>
      </c>
      <c r="B65" s="5" t="s">
        <v>1284</v>
      </c>
      <c r="C65" s="23">
        <v>16103</v>
      </c>
      <c r="D65" s="23">
        <v>16132</v>
      </c>
      <c r="E65" s="5" t="s">
        <v>1283</v>
      </c>
      <c r="F65" s="5" t="s">
        <v>98</v>
      </c>
      <c r="G65" s="122" t="s">
        <v>1317</v>
      </c>
      <c r="H65" s="122"/>
      <c r="I65" s="122"/>
      <c r="J65" s="5" t="s">
        <v>98</v>
      </c>
      <c r="K65" s="5" t="s">
        <v>617</v>
      </c>
    </row>
    <row r="66" spans="1:11" ht="74" x14ac:dyDescent="0.35">
      <c r="A66" s="5" t="s">
        <v>1251</v>
      </c>
      <c r="B66" s="5" t="s">
        <v>1121</v>
      </c>
      <c r="C66" s="23">
        <v>16247</v>
      </c>
      <c r="D66" s="23"/>
      <c r="E66" s="5" t="s">
        <v>1285</v>
      </c>
      <c r="F66" s="5" t="s">
        <v>473</v>
      </c>
      <c r="G66" s="122" t="s">
        <v>1318</v>
      </c>
      <c r="H66" s="122"/>
      <c r="I66" s="122"/>
      <c r="J66" s="5" t="s">
        <v>1125</v>
      </c>
      <c r="K66" s="5" t="s">
        <v>516</v>
      </c>
    </row>
    <row r="67" spans="1:11" ht="129.5" x14ac:dyDescent="0.45">
      <c r="A67" s="5" t="s">
        <v>1252</v>
      </c>
      <c r="B67" s="5" t="s">
        <v>1122</v>
      </c>
      <c r="C67" s="23">
        <v>16438</v>
      </c>
      <c r="D67" s="23">
        <v>16526</v>
      </c>
      <c r="E67" s="93" t="s">
        <v>1286</v>
      </c>
      <c r="F67" s="5" t="s">
        <v>98</v>
      </c>
      <c r="G67" s="122" t="s">
        <v>1317</v>
      </c>
      <c r="H67" s="122"/>
      <c r="I67" s="122"/>
      <c r="J67" s="5" t="s">
        <v>98</v>
      </c>
      <c r="K67" s="5" t="s">
        <v>1190</v>
      </c>
    </row>
    <row r="68" spans="1:11" x14ac:dyDescent="0.35">
      <c r="A68" s="5" t="s">
        <v>1253</v>
      </c>
      <c r="B68" s="5" t="s">
        <v>1123</v>
      </c>
      <c r="C68" s="23">
        <v>16553</v>
      </c>
      <c r="D68" s="23"/>
      <c r="E68" s="5" t="s">
        <v>1254</v>
      </c>
      <c r="F68" s="5" t="s">
        <v>473</v>
      </c>
      <c r="G68" s="122" t="s">
        <v>1109</v>
      </c>
      <c r="H68" s="122"/>
      <c r="I68" s="122"/>
      <c r="J68" s="5"/>
      <c r="K68" s="5" t="s">
        <v>538</v>
      </c>
    </row>
    <row r="69" spans="1:11" s="38" customFormat="1" x14ac:dyDescent="0.35">
      <c r="A69" s="36"/>
      <c r="B69" s="36"/>
      <c r="C69" s="44"/>
      <c r="D69" s="44"/>
      <c r="E69" s="36"/>
      <c r="F69" s="36"/>
      <c r="G69" s="36"/>
      <c r="H69" s="36"/>
      <c r="I69" s="36"/>
      <c r="J69" s="36"/>
      <c r="K69" s="36"/>
    </row>
    <row r="70" spans="1:11" ht="74" x14ac:dyDescent="0.35">
      <c r="A70" s="5" t="s">
        <v>1129</v>
      </c>
      <c r="B70" s="5" t="s">
        <v>1130</v>
      </c>
      <c r="C70" s="23">
        <v>16059</v>
      </c>
      <c r="D70" s="23"/>
      <c r="E70" s="5" t="s">
        <v>1131</v>
      </c>
      <c r="F70" s="5" t="s">
        <v>655</v>
      </c>
      <c r="G70" s="112" t="s">
        <v>1263</v>
      </c>
      <c r="H70" s="5"/>
      <c r="I70" s="5"/>
      <c r="J70" s="5" t="s">
        <v>1125</v>
      </c>
      <c r="K70" s="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40AD-B813-43BF-8AF7-8F422DEF11D7}">
  <dimension ref="A1:D16"/>
  <sheetViews>
    <sheetView zoomScale="80" zoomScaleNormal="80" workbookViewId="0">
      <selection activeCell="B2" sqref="B2"/>
    </sheetView>
  </sheetViews>
  <sheetFormatPr defaultRowHeight="14.5" x14ac:dyDescent="0.35"/>
  <cols>
    <col min="1" max="2" width="17.81640625" customWidth="1"/>
    <col min="3" max="3" width="59.453125" customWidth="1"/>
    <col min="4" max="4" width="32.26953125" customWidth="1"/>
  </cols>
  <sheetData>
    <row r="1" spans="1:4" ht="18.5" x14ac:dyDescent="0.45">
      <c r="A1" s="57" t="s">
        <v>635</v>
      </c>
      <c r="B1" s="57" t="s">
        <v>649</v>
      </c>
      <c r="C1" s="57" t="s">
        <v>2</v>
      </c>
      <c r="D1" s="57" t="s">
        <v>466</v>
      </c>
    </row>
    <row r="2" spans="1:4" ht="74" x14ac:dyDescent="0.35">
      <c r="A2" s="5" t="s">
        <v>594</v>
      </c>
      <c r="B2" s="5" t="s">
        <v>595</v>
      </c>
      <c r="C2" s="8" t="s">
        <v>596</v>
      </c>
      <c r="D2" s="5" t="s">
        <v>597</v>
      </c>
    </row>
    <row r="3" spans="1:4" ht="37" x14ac:dyDescent="0.35">
      <c r="A3" s="5" t="s">
        <v>502</v>
      </c>
      <c r="B3" s="5" t="s">
        <v>598</v>
      </c>
      <c r="C3" s="8" t="s">
        <v>599</v>
      </c>
      <c r="D3" s="5" t="s">
        <v>600</v>
      </c>
    </row>
    <row r="4" spans="1:4" ht="55.5" x14ac:dyDescent="0.35">
      <c r="A4" s="5" t="s">
        <v>473</v>
      </c>
      <c r="B4" s="5" t="s">
        <v>601</v>
      </c>
      <c r="C4" s="8" t="s">
        <v>602</v>
      </c>
      <c r="D4" s="5" t="s">
        <v>603</v>
      </c>
    </row>
    <row r="5" spans="1:4" ht="37" x14ac:dyDescent="0.35">
      <c r="A5" s="5" t="s">
        <v>534</v>
      </c>
      <c r="B5" s="5" t="s">
        <v>604</v>
      </c>
      <c r="C5" s="15" t="s">
        <v>823</v>
      </c>
      <c r="D5" s="5" t="s">
        <v>605</v>
      </c>
    </row>
    <row r="6" spans="1:4" ht="55.5" x14ac:dyDescent="0.35">
      <c r="A6" s="5" t="s">
        <v>526</v>
      </c>
      <c r="B6" s="5" t="s">
        <v>606</v>
      </c>
      <c r="C6" s="15" t="s">
        <v>824</v>
      </c>
      <c r="D6" s="5" t="s">
        <v>607</v>
      </c>
    </row>
    <row r="7" spans="1:4" ht="55.5" x14ac:dyDescent="0.35">
      <c r="A7" s="5" t="s">
        <v>538</v>
      </c>
      <c r="B7" s="5" t="s">
        <v>608</v>
      </c>
      <c r="C7" s="15" t="s">
        <v>825</v>
      </c>
      <c r="D7" s="5" t="s">
        <v>609</v>
      </c>
    </row>
    <row r="8" spans="1:4" ht="55.5" x14ac:dyDescent="0.35">
      <c r="A8" s="5" t="s">
        <v>498</v>
      </c>
      <c r="B8" s="5" t="s">
        <v>610</v>
      </c>
      <c r="C8" s="15" t="s">
        <v>826</v>
      </c>
      <c r="D8" s="5" t="s">
        <v>611</v>
      </c>
    </row>
    <row r="9" spans="1:4" ht="74" x14ac:dyDescent="0.35">
      <c r="A9" s="5" t="s">
        <v>470</v>
      </c>
      <c r="B9" s="5" t="s">
        <v>612</v>
      </c>
      <c r="C9" s="15" t="s">
        <v>827</v>
      </c>
      <c r="D9" s="5" t="s">
        <v>613</v>
      </c>
    </row>
    <row r="10" spans="1:4" ht="55.5" x14ac:dyDescent="0.35">
      <c r="A10" s="5" t="s">
        <v>614</v>
      </c>
      <c r="B10" s="5" t="s">
        <v>615</v>
      </c>
      <c r="C10" s="15" t="s">
        <v>828</v>
      </c>
      <c r="D10" s="5" t="s">
        <v>616</v>
      </c>
    </row>
    <row r="11" spans="1:4" ht="55.5" x14ac:dyDescent="0.35">
      <c r="A11" s="5" t="s">
        <v>617</v>
      </c>
      <c r="B11" s="5" t="s">
        <v>618</v>
      </c>
      <c r="C11" s="15" t="s">
        <v>237</v>
      </c>
      <c r="D11" s="5" t="s">
        <v>619</v>
      </c>
    </row>
    <row r="12" spans="1:4" ht="55.5" x14ac:dyDescent="0.35">
      <c r="A12" s="5" t="s">
        <v>620</v>
      </c>
      <c r="B12" s="5" t="s">
        <v>621</v>
      </c>
      <c r="C12" s="15" t="s">
        <v>829</v>
      </c>
      <c r="D12" s="5" t="s">
        <v>622</v>
      </c>
    </row>
    <row r="13" spans="1:4" ht="55.5" x14ac:dyDescent="0.35">
      <c r="A13" s="5" t="s">
        <v>623</v>
      </c>
      <c r="B13" s="5" t="s">
        <v>624</v>
      </c>
      <c r="C13" s="15" t="s">
        <v>830</v>
      </c>
      <c r="D13" s="5" t="s">
        <v>625</v>
      </c>
    </row>
    <row r="14" spans="1:4" ht="37" x14ac:dyDescent="0.45">
      <c r="A14" s="5" t="s">
        <v>626</v>
      </c>
      <c r="B14" s="5" t="s">
        <v>627</v>
      </c>
      <c r="C14" s="58"/>
      <c r="D14" s="5" t="s">
        <v>628</v>
      </c>
    </row>
    <row r="15" spans="1:4" ht="37" x14ac:dyDescent="0.45">
      <c r="A15" s="5" t="s">
        <v>629</v>
      </c>
      <c r="B15" s="53" t="s">
        <v>630</v>
      </c>
      <c r="C15" s="15" t="s">
        <v>176</v>
      </c>
      <c r="D15" s="59" t="s">
        <v>631</v>
      </c>
    </row>
    <row r="16" spans="1:4" ht="37" x14ac:dyDescent="0.45">
      <c r="A16" s="53" t="s">
        <v>632</v>
      </c>
      <c r="B16" s="53" t="s">
        <v>633</v>
      </c>
      <c r="C16" s="89" t="s">
        <v>831</v>
      </c>
      <c r="D16" s="59" t="s">
        <v>776</v>
      </c>
    </row>
  </sheetData>
  <hyperlinks>
    <hyperlink ref="C2" r:id="rId1" xr:uid="{D0D89BB6-CE7A-4B57-AF1D-DAAAD052C6F2}"/>
    <hyperlink ref="C3" r:id="rId2" xr:uid="{567A29F3-3A2D-49F8-B96D-D9B21D29A8F6}"/>
    <hyperlink ref="C4" r:id="rId3" xr:uid="{0AF7266C-02C3-4F47-BB4D-F70CAE8A79C8}"/>
    <hyperlink ref="C5" r:id="rId4" xr:uid="{9F83AF9B-9475-4FB7-B4C8-1D9559D1A6D0}"/>
    <hyperlink ref="C6" r:id="rId5" xr:uid="{F5A9348E-ED19-4E90-B21F-8AD2771F5442}"/>
    <hyperlink ref="C7" r:id="rId6" xr:uid="{9BAB1DA3-CF80-4443-A585-AC9CDBEC635E}"/>
    <hyperlink ref="C8" r:id="rId7" xr:uid="{2BD4B91A-66E4-49F9-B132-223BBF1B0DBD}"/>
    <hyperlink ref="C9" r:id="rId8" xr:uid="{F611B7DA-47F3-4933-B87B-EAC27F9B4710}"/>
    <hyperlink ref="C10" r:id="rId9" xr:uid="{6DF048B3-2376-44FB-96EC-8B40E52B6A28}"/>
    <hyperlink ref="C12" r:id="rId10" xr:uid="{158715C9-CD98-4DFB-A945-926433CA2895}"/>
    <hyperlink ref="C13" r:id="rId11" xr:uid="{83D4BA1F-24C6-4DDC-B96D-473824CD4085}"/>
    <hyperlink ref="C11" r:id="rId12" xr:uid="{92C07803-A815-438F-ABBA-53DDC5427738}"/>
    <hyperlink ref="C15" r:id="rId13" xr:uid="{2141C725-C7E0-4CCA-BD60-26456D301571}"/>
    <hyperlink ref="C16" r:id="rId14" xr:uid="{CACE9342-C36B-4A69-861A-67DC6AB3F25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D0EB7-81CE-43FD-AD96-72CD11D2C52C}">
  <dimension ref="A1:H1"/>
  <sheetViews>
    <sheetView zoomScale="60" zoomScaleNormal="60" workbookViewId="0">
      <selection sqref="A1:H4"/>
    </sheetView>
  </sheetViews>
  <sheetFormatPr defaultRowHeight="14.5" x14ac:dyDescent="0.35"/>
  <cols>
    <col min="1" max="1" width="26.1796875" customWidth="1"/>
    <col min="2" max="2" width="21" customWidth="1"/>
    <col min="3" max="3" width="17.08984375" customWidth="1"/>
    <col min="4" max="4" width="13.90625" customWidth="1"/>
    <col min="6" max="6" width="12.6328125" customWidth="1"/>
    <col min="7" max="7" width="21.90625" customWidth="1"/>
    <col min="8" max="8" width="19" customWidth="1"/>
  </cols>
  <sheetData>
    <row r="1" spans="1:8" ht="34" customHeight="1" x14ac:dyDescent="0.35">
      <c r="A1" s="9" t="s">
        <v>635</v>
      </c>
      <c r="B1" s="9" t="s">
        <v>643</v>
      </c>
      <c r="C1" s="9" t="s">
        <v>644</v>
      </c>
      <c r="D1" s="18" t="s">
        <v>652</v>
      </c>
      <c r="E1" s="18" t="s">
        <v>653</v>
      </c>
      <c r="F1" s="9" t="s">
        <v>254</v>
      </c>
      <c r="G1" s="18" t="s">
        <v>2</v>
      </c>
      <c r="H1" s="84" t="s">
        <v>645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E70A7-F2CE-4594-BE82-7E5412F7D779}">
  <dimension ref="A1"/>
  <sheetViews>
    <sheetView workbookViewId="0"/>
  </sheetViews>
  <sheetFormatPr defaultRowHeight="14.5" x14ac:dyDescent="0.35"/>
  <sheetData>
    <row r="1" spans="1:1" x14ac:dyDescent="0.35">
      <c r="A1" t="s">
        <v>1367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0A7C89-5EE1-4D28-9A92-B65C095EC9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PERSONE</vt:lpstr>
      <vt:lpstr>ORGANIZZAZIONI</vt:lpstr>
      <vt:lpstr>LUOGHI</vt:lpstr>
      <vt:lpstr>EVENTI</vt:lpstr>
      <vt:lpstr>TEMI</vt:lpstr>
      <vt:lpstr>SBARCO</vt:lpstr>
      <vt:lpstr>BOMBARDAMENTO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Elisa Poloni - elisa.poloni2@studio.unibo.it</dc:creator>
  <cp:keywords/>
  <dc:description/>
  <cp:lastModifiedBy>Elisa Poloni - elisa.poloni2@studio.unibo.it</cp:lastModifiedBy>
  <cp:revision/>
  <dcterms:created xsi:type="dcterms:W3CDTF">2026-04-13T13:58:11Z</dcterms:created>
  <dcterms:modified xsi:type="dcterms:W3CDTF">2026-09-25T08:30:30Z</dcterms:modified>
  <cp:category/>
  <cp:contentStatus/>
</cp:coreProperties>
</file>